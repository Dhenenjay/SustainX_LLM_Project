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printerSettings/printerSettings2.bin" ContentType="application/vnd.openxmlformats-officedocument.spreadsheetml.printerSettings"/>
  <Override PartName="/xl/drawings/drawing3.xml" ContentType="application/vnd.openxmlformats-officedocument.drawing+xml"/>
  <Override PartName="/xl/activeX/activeX10.xml" ContentType="application/vnd.ms-office.activeX+xml"/>
  <Override PartName="/xl/printerSettings/printerSettings3.bin" ContentType="application/vnd.openxmlformats-officedocument.spreadsheetml.printerSettings"/>
  <Override PartName="/xl/drawings/drawing4.xml" ContentType="application/vnd.openxmlformats-officedocument.drawing+xml"/>
  <Override PartName="/xl/activeX/activeX11.xml" ContentType="application/vnd.ms-office.activeX+xml"/>
  <Override PartName="/xl/printerSettings/printerSettings4.bin" ContentType="application/vnd.openxmlformats-officedocument.spreadsheetml.printerSettings"/>
  <Override PartName="/xl/drawings/drawing5.xml" ContentType="application/vnd.openxmlformats-officedocument.drawing+xml"/>
  <Override PartName="/xl/activeX/activeX12.xml" ContentType="application/vnd.ms-office.activeX+xml"/>
  <Override PartName="/xl/printerSettings/printerSettings5.bin" ContentType="application/vnd.openxmlformats-officedocument.spreadsheetml.printerSettings"/>
  <Override PartName="/xl/drawings/drawing6.xml" ContentType="application/vnd.openxmlformats-officedocument.drawing+xml"/>
  <Override PartName="/xl/activeX/activeX13.xml" ContentType="application/vnd.ms-office.activeX+xml"/>
  <Override PartName="/xl/printerSettings/printerSettings6.bin" ContentType="application/vnd.openxmlformats-officedocument.spreadsheetml.printerSettings"/>
  <Override PartName="/xl/drawings/drawing7.xml" ContentType="application/vnd.openxmlformats-officedocument.drawing+xml"/>
  <Override PartName="/xl/activeX/activeX14.xml" ContentType="application/vnd.ms-office.activeX+xml"/>
  <Override PartName="/xl/printerSettings/printerSettings7.bin" ContentType="application/vnd.openxmlformats-officedocument.spreadsheetml.printerSettings"/>
  <Override PartName="/xl/drawings/drawing8.xml" ContentType="application/vnd.openxmlformats-officedocument.drawing+xml"/>
  <Override PartName="/xl/activeX/activeX15.xml" ContentType="application/vnd.ms-office.activeX+xml"/>
  <Override PartName="/xl/printerSettings/printerSettings8.bin" ContentType="application/vnd.openxmlformats-officedocument.spreadsheetml.printerSettings"/>
  <Override PartName="/xl/drawings/drawing9.xml" ContentType="application/vnd.openxmlformats-officedocument.drawing+xml"/>
  <Override PartName="/xl/activeX/activeX16.xml" ContentType="application/vnd.ms-office.activeX+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0.xml" ContentType="application/vnd.openxmlformats-officedocument.drawing+xml"/>
  <Override PartName="/xl/activeX/activeX17.xml" ContentType="application/vnd.ms-office.activeX+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eyus-my.sharepoint.com/personal/sumedha_chaudhry_ey_com/Documents/Documents/Sumedha Docs/GAMCOE/Discover/upload discover/DTs/RCM/"/>
    </mc:Choice>
  </mc:AlternateContent>
  <xr:revisionPtr revIDLastSave="549" documentId="8_{31983519-A6D8-48A0-BD5A-7233868645DD}" xr6:coauthVersionLast="47" xr6:coauthVersionMax="47" xr10:uidLastSave="{51945CD7-8642-460A-A4FF-D9D979A45C73}"/>
  <bookViews>
    <workbookView xWindow="-110" yWindow="-110" windowWidth="19420" windowHeight="10420" tabRatio="821" xr2:uid="{20D3F738-BAB6-4306-BC09-5F8286406B06}"/>
  </bookViews>
  <sheets>
    <sheet name="Instructions" sheetId="1" r:id="rId1"/>
    <sheet name="Scope and Scaling Factors" sheetId="2" r:id="rId2"/>
    <sheet name="Project Plan - Self " sheetId="3" state="hidden" r:id="rId3"/>
    <sheet name="Project Plan - Rapid" sheetId="4" state="hidden" r:id="rId4"/>
    <sheet name="Project Plan - Target Deepdive" sheetId="5" state="hidden" r:id="rId5"/>
    <sheet name="Project Plan - Target " sheetId="6" state="hidden" r:id="rId6"/>
    <sheet name="Project Plan - Transf. Deepdive" sheetId="7" r:id="rId7"/>
    <sheet name="Project Plan - Transformative" sheetId="8" state="hidden" r:id="rId8"/>
    <sheet name="Rate Card" sheetId="9" r:id="rId9"/>
    <sheet name="Resource Plan - Self " sheetId="10" state="hidden" r:id="rId10"/>
    <sheet name="Resource Plan - Rapid" sheetId="11" state="hidden" r:id="rId11"/>
    <sheet name="Resource Plan - Target Deepdive" sheetId="12" state="hidden" r:id="rId12"/>
    <sheet name="Resource Plan - Target" sheetId="13" state="hidden" r:id="rId13"/>
    <sheet name="Resource Plan - Transf.Deepdive" sheetId="14" r:id="rId14"/>
    <sheet name="Resource Plan -Transformative" sheetId="15" state="hidden" r:id="rId15"/>
    <sheet name="Considerations" sheetId="16" r:id="rId16"/>
  </sheets>
  <externalReferences>
    <externalReference r:id="rId17"/>
    <externalReference r:id="rId18"/>
  </externalReferences>
  <definedNames>
    <definedName name="Benchmark_6_High" localSheetId="3">'Project Plan - Rapid'!#REF!</definedName>
    <definedName name="Benchmark_6_High" localSheetId="5">'Project Plan - Target '!#REF!</definedName>
    <definedName name="Benchmark_6_High" localSheetId="6">'Project Plan - Transf. Deepdive'!#REF!</definedName>
    <definedName name="Benchmark_6_High" localSheetId="7">'Project Plan - Transformative'!#REF!</definedName>
    <definedName name="competency">OFFSET('[1]Rate Card'!$I$4,1,0,COUNTA('[1]Rate Card'!$I:$I)-1,1)</definedName>
    <definedName name="Complexity">'Scope and Scaling Factors'!$E$19</definedName>
    <definedName name="country">OFFSET('[1]Rate Card'!$H$4,1,0,COUNTA('[1]Rate Card'!$H:$H)-1,1)</definedName>
    <definedName name="Deliver_4_High" localSheetId="9">#REF!</definedName>
    <definedName name="Deliver_4_Low" localSheetId="9">#REF!</definedName>
    <definedName name="Deliver_4_Medium" localSheetId="9">#REF!</definedName>
    <definedName name="Detailed_by_Weeks_High" localSheetId="3">'Project Plan - Rapid'!#REF!</definedName>
    <definedName name="Detailed_by_Weeks_High" localSheetId="5">'Project Plan - Target '!#REF!</definedName>
    <definedName name="Detailed_by_Weeks_High" localSheetId="4">'Project Plan - Target Deepdive'!#REF!</definedName>
    <definedName name="Detailed_by_Weeks_High" localSheetId="6">'Project Plan - Transf. Deepdive'!#REF!</definedName>
    <definedName name="Detailed_by_Weeks_High" localSheetId="7">'Project Plan - Transformative'!#REF!</definedName>
    <definedName name="Detailed_by_Weeks_High" localSheetId="9">#REF!</definedName>
    <definedName name="Detailed_by_Weeks_High">'Project Plan - Self '!#REF!</definedName>
    <definedName name="Detailed_by_Weeks_Low" localSheetId="9">#REF!</definedName>
    <definedName name="Detailed_by_Weeks_Low">#REF!</definedName>
    <definedName name="Detailed_by_Weeks_Medium" localSheetId="9">#REF!</definedName>
    <definedName name="Detailed_by_Weeks_Medium">#REF!</definedName>
    <definedName name="documentation_in_scope">"yes"</definedName>
    <definedName name="E2E">"yes"</definedName>
    <definedName name="e2e_act" localSheetId="9">#REF!</definedName>
    <definedName name="e2e_act">#REF!</definedName>
    <definedName name="e2e_pp" localSheetId="9">#REF!</definedName>
    <definedName name="e2e_pp">#REF!</definedName>
    <definedName name="Facil_disc_2_High" localSheetId="3">'Project Plan - Rapid'!#REF!</definedName>
    <definedName name="Facil_disc_2_High" localSheetId="5">'Project Plan - Target '!#REF!</definedName>
    <definedName name="Facil_disc_2_High" localSheetId="4">'Project Plan - Target Deepdive'!#REF!</definedName>
    <definedName name="Facil_disc_2_High" localSheetId="6">'Project Plan - Transf. Deepdive'!#REF!</definedName>
    <definedName name="Facil_disc_2_High" localSheetId="7">'Project Plan - Transformative'!#REF!</definedName>
    <definedName name="Facil_disc_2_High" localSheetId="9">#REF!</definedName>
    <definedName name="Facil_disc_2_High">'Project Plan - Self '!#REF!</definedName>
    <definedName name="Facil_disc_2_Low" localSheetId="9">#REF!</definedName>
    <definedName name="Facil_disc_2_Low">#REF!</definedName>
    <definedName name="Facil_disc_2_Medium" localSheetId="9">#REF!</definedName>
    <definedName name="Facil_disc_2_Medium">#REF!</definedName>
    <definedName name="HL">"no"</definedName>
    <definedName name="hours_per_interview">2</definedName>
    <definedName name="info_gather_in_scope" localSheetId="9">"facil_disc"</definedName>
    <definedName name="info_gather_in_scope">"survey"</definedName>
    <definedName name="insight_in_scope">"yes"</definedName>
    <definedName name="Insight_session_8_High" localSheetId="3">'Project Plan - Rapid'!#REF!</definedName>
    <definedName name="Insight_session_8_High" localSheetId="5">'Project Plan - Target '!#REF!</definedName>
    <definedName name="Insight_session_8_High" localSheetId="4">'Project Plan - Target Deepdive'!#REF!</definedName>
    <definedName name="Insight_session_8_High" localSheetId="6">'Project Plan - Transf. Deepdive'!#REF!</definedName>
    <definedName name="Insight_session_8_High" localSheetId="7">'Project Plan - Transformative'!#REF!</definedName>
    <definedName name="Insight_session_8_High" localSheetId="9">#REF!</definedName>
    <definedName name="Insight_session_8_High">'Project Plan - Self '!#REF!</definedName>
    <definedName name="Insight_session_8_Low" localSheetId="9">#REF!</definedName>
    <definedName name="Insight_session_8_Low">#REF!</definedName>
    <definedName name="Insight_session_8_medium" localSheetId="9">#REF!</definedName>
    <definedName name="Insight_session_8_medium">#REF!</definedName>
    <definedName name="Instr">#N/A</definedName>
    <definedName name="Manage_Project_9_High" localSheetId="9">#REF!</definedName>
    <definedName name="Manage_Project_9_High">#REF!</definedName>
    <definedName name="Manage_Project_9_Low" localSheetId="9">#REF!</definedName>
    <definedName name="Manage_Project_9_Low">#REF!</definedName>
    <definedName name="Manage_Project_9_Medium" localSheetId="9">#REF!</definedName>
    <definedName name="Manage_Project_9_Medium">#REF!</definedName>
    <definedName name="Maturity_5_High" localSheetId="3">'Project Plan - Rapid'!#REF!</definedName>
    <definedName name="Maturity_5_High" localSheetId="5">'Project Plan - Target '!#REF!</definedName>
    <definedName name="Maturity_5_High" localSheetId="4">'Project Plan - Target Deepdive'!#REF!</definedName>
    <definedName name="Maturity_5_High" localSheetId="6">'Project Plan - Transf. Deepdive'!#REF!</definedName>
    <definedName name="Maturity_5_High" localSheetId="7">'Project Plan - Transformative'!#REF!</definedName>
    <definedName name="Maturity_5_High" localSheetId="9">#REF!</definedName>
    <definedName name="Maturity_5_High">'Project Plan - Self '!#REF!</definedName>
    <definedName name="Maturity_5_Low" localSheetId="9">#REF!</definedName>
    <definedName name="Maturity_5_Low">#REF!</definedName>
    <definedName name="Maturity_5_Medium" localSheetId="9">#REF!</definedName>
    <definedName name="Maturity_5_Medium">#REF!</definedName>
    <definedName name="maturity_in_scope">"yes"</definedName>
    <definedName name="Names">'Rate Card'!$D$13:INDEX('Rate Card'!$D:$D,ROW(Resource_Name_First)+COUNTA('Rate Card'!$D$13:'Rate Card'!$D$921)-1)</definedName>
    <definedName name="number_of_audit_file_reviews" localSheetId="9">#REF!</definedName>
    <definedName name="number_of_audit_file_reviews" localSheetId="1">'Scope and Scaling Factors'!$J$25</definedName>
    <definedName name="number_of_audit_file_reviews">#REF!</definedName>
    <definedName name="number_of_interviews" localSheetId="9">#REF!</definedName>
    <definedName name="number_of_interviews" localSheetId="1">'Scope and Scaling Factors'!$J$22</definedName>
    <definedName name="number_of_interviews">#REF!</definedName>
    <definedName name="number_of_reports" localSheetId="9">#REF!</definedName>
    <definedName name="number_of_reports" localSheetId="1">'Scope and Scaling Factors'!$J$28</definedName>
    <definedName name="number_of_reports">#REF!</definedName>
    <definedName name="number_of_standards" localSheetId="9">#REF!</definedName>
    <definedName name="number_of_standards" localSheetId="1">'Scope and Scaling Factors'!$J$19</definedName>
    <definedName name="number_of_standards">#REF!</definedName>
    <definedName name="on_the_right_detailed_High" localSheetId="3">'Project Plan - Rapid'!#REF!</definedName>
    <definedName name="on_the_right_detailed_High" localSheetId="5">'Project Plan - Target '!#REF!</definedName>
    <definedName name="on_the_right_detailed_High" localSheetId="4">'Project Plan - Target Deepdive'!#REF!</definedName>
    <definedName name="on_the_right_detailed_High" localSheetId="6">'Project Plan - Transf. Deepdive'!#REF!</definedName>
    <definedName name="on_the_right_detailed_High" localSheetId="7">'Project Plan - Transformative'!#REF!</definedName>
    <definedName name="on_the_right_detailed_High" localSheetId="9">#REF!</definedName>
    <definedName name="on_the_right_detailed_High">'Project Plan - Self '!#REF!</definedName>
    <definedName name="on_the_right_detailed_Low" localSheetId="9">#REF!</definedName>
    <definedName name="on_the_right_detailed_Low">#REF!</definedName>
    <definedName name="on_the_right_detailed_Medium" localSheetId="9">#REF!</definedName>
    <definedName name="on_the_right_detailed_Medium">#REF!</definedName>
    <definedName name="on_the_right_summary_High" localSheetId="3">'Project Plan - Rapid'!$R$12:$ER$44</definedName>
    <definedName name="on_the_right_summary_High" localSheetId="5">'Project Plan - Target '!$R$12:$ER$44</definedName>
    <definedName name="on_the_right_summary_High" localSheetId="4">'Project Plan - Target Deepdive'!$R$12:$ER$44</definedName>
    <definedName name="on_the_right_summary_High" localSheetId="6">'Project Plan - Transf. Deepdive'!$R$12:$ER$44</definedName>
    <definedName name="on_the_right_summary_High" localSheetId="7">'Project Plan - Transformative'!$R$12:$ER$44</definedName>
    <definedName name="on_the_right_summary_High" localSheetId="9">#REF!</definedName>
    <definedName name="on_the_right_summary_High">'Project Plan - Self '!$R$12:$ER$44</definedName>
    <definedName name="on_the_right_summary_Low" localSheetId="9">#REF!</definedName>
    <definedName name="on_the_right_summary_Low">#REF!</definedName>
    <definedName name="on_the_right_summary_Medium" localSheetId="9">#REF!</definedName>
    <definedName name="on_the_right_summary_Medium">#REF!</definedName>
    <definedName name="Plan_1_High" localSheetId="9">#REF!</definedName>
    <definedName name="Plan_1_High">#REF!</definedName>
    <definedName name="Plan_1_Low" localSheetId="9">#REF!</definedName>
    <definedName name="Plan_1_Low">#REF!</definedName>
    <definedName name="Plan_1_Medium" localSheetId="9">#REF!</definedName>
    <definedName name="Plan_1_Medium">#REF!</definedName>
    <definedName name="PM_Content_10_High" localSheetId="9">#REF!</definedName>
    <definedName name="PM_Content_10_High">#REF!</definedName>
    <definedName name="PM_Content_10_Low" localSheetId="9">#REF!</definedName>
    <definedName name="PM_Content_10_Low">#REF!</definedName>
    <definedName name="PM_Content_10_Medium" localSheetId="9">#REF!</definedName>
    <definedName name="PM_Content_10_Medium">#REF!</definedName>
    <definedName name="pmo_in_scope">"no"</definedName>
    <definedName name="Ranks" localSheetId="9">'[2]Rate Card'!$P$8:INDEX('[2]Rate Card'!$P:$P,ROW('Resource Plan - Self '!Resource_Name_First)+COUNTA('[2]Rate Card'!$P$8:'[2]Rate Card'!$P$915)-1)</definedName>
    <definedName name="Ranks">'Rate Card'!$N$13:INDEX('Rate Card'!$N:$N,ROW(Resource_Name_First)+COUNTA('Rate Card'!$N$13:'Rate Card'!$N$921)-1)</definedName>
    <definedName name="Rate_Card" localSheetId="9">#REF!</definedName>
    <definedName name="Rate_Card">#REF!</definedName>
    <definedName name="RemT_in_scope">"yes"</definedName>
    <definedName name="Report_7_High" localSheetId="9">#REF!</definedName>
    <definedName name="Report_7_High">#REF!</definedName>
    <definedName name="Report_7_Low" localSheetId="9">#REF!</definedName>
    <definedName name="Report_7_Low">#REF!</definedName>
    <definedName name="Report_7_Medium" localSheetId="9">#REF!</definedName>
    <definedName name="Report_7_Medium">#REF!</definedName>
    <definedName name="Resource_Name" localSheetId="9">#REF!:INDEX(#REF!,ROW('Resource Plan - Self '!Resource_Name_First)+COUNTA('Resource Plan - Self '!Resource_Name_First:#REF!)-1)</definedName>
    <definedName name="Resource_Name">'Rate Card'!$D$13:INDEX('Rate Card'!$D:$D,ROW(Resource_Name_First)+COUNTA(Resource_Name_First:'Rate Card'!$D$921)-1)</definedName>
    <definedName name="Resource_Name_First" localSheetId="9">#REF!</definedName>
    <definedName name="Resource_Name_First">'Rate Card'!$D$13</definedName>
    <definedName name="Resources">'Rate Card'!$D$13:$I$63</definedName>
    <definedName name="Roles" localSheetId="9">'[2]Rate Card'!$N$8:INDEX('[2]Rate Card'!$N:$N,ROW('Resource Plan - Self '!Resource_Name_First)+COUNTA('[2]Rate Card'!$N$8:'[2]Rate Card'!$N$915)-1)</definedName>
    <definedName name="Roles">'Rate Card'!#REF!:INDEX('Rate Card'!#REF!,ROW(Resource_Name_First)+COUNTA('Rate Card'!#REF!:'Rate Card'!#REF!)-1)</definedName>
    <definedName name="scoping_in_scope">"yes"</definedName>
    <definedName name="Summary_Benchmark_High" localSheetId="3">'Project Plan - Rapid'!$30:$30</definedName>
    <definedName name="Summary_Benchmark_High" localSheetId="5">'Project Plan - Target '!$30:$30</definedName>
    <definedName name="Summary_Benchmark_High" localSheetId="4">'Project Plan - Target Deepdive'!$30:$30</definedName>
    <definedName name="Summary_Benchmark_High" localSheetId="6">'Project Plan - Transf. Deepdive'!$30:$30</definedName>
    <definedName name="Summary_Benchmark_High" localSheetId="7">'Project Plan - Transformative'!$30:$30</definedName>
    <definedName name="Summary_Benchmark_High" localSheetId="9">#REF!</definedName>
    <definedName name="Summary_Benchmark_High">'Project Plan - Self '!$30:$30</definedName>
    <definedName name="Summary_Benchmark_Low" localSheetId="9">#REF!</definedName>
    <definedName name="Summary_Benchmark_Low">#REF!</definedName>
    <definedName name="Summary_Benchmark_Medium" localSheetId="9">#REF!</definedName>
    <definedName name="Summary_Benchmark_Medium">#REF!</definedName>
    <definedName name="Summary_Insight_High" localSheetId="3">'Project Plan - Rapid'!#REF!</definedName>
    <definedName name="Summary_Insight_High" localSheetId="5">'Project Plan - Target '!#REF!</definedName>
    <definedName name="Summary_Insight_High" localSheetId="4">'Project Plan - Target Deepdive'!#REF!</definedName>
    <definedName name="Summary_Insight_High" localSheetId="6">'Project Plan - Transf. Deepdive'!#REF!</definedName>
    <definedName name="Summary_Insight_High" localSheetId="7">'Project Plan - Transformative'!#REF!</definedName>
    <definedName name="Summary_Insight_High" localSheetId="9">#REF!</definedName>
    <definedName name="Summary_Insight_High">'Project Plan - Self '!#REF!</definedName>
    <definedName name="Summary_Insight_Low" localSheetId="9">#REF!</definedName>
    <definedName name="Summary_Insight_Low">#REF!</definedName>
    <definedName name="Summary_Insight_Medium" localSheetId="9">#REF!</definedName>
    <definedName name="Summary_Insight_Medium">#REF!</definedName>
    <definedName name="Summary_Maturity_High" localSheetId="3">'Project Plan - Rapid'!$29:$29</definedName>
    <definedName name="Summary_Maturity_High" localSheetId="5">'Project Plan - Target '!$29:$29</definedName>
    <definedName name="Summary_Maturity_High" localSheetId="4">'Project Plan - Target Deepdive'!$29:$29</definedName>
    <definedName name="Summary_Maturity_High" localSheetId="6">'Project Plan - Transf. Deepdive'!$29:$29</definedName>
    <definedName name="Summary_Maturity_High" localSheetId="7">'Project Plan - Transformative'!$29:$29</definedName>
    <definedName name="Summary_Maturity_High" localSheetId="9">#REF!</definedName>
    <definedName name="Summary_Maturity_High">'Project Plan - Self '!$29:$29</definedName>
    <definedName name="Summary_Maturity_Low" localSheetId="9">#REF!</definedName>
    <definedName name="Summary_Maturity_Low">#REF!</definedName>
    <definedName name="Summary_Maturity_Medium" localSheetId="9">#REF!</definedName>
    <definedName name="Summary_Maturity_Medium">#REF!</definedName>
    <definedName name="Surveys_3_High" localSheetId="3">'Project Plan - Rapid'!#REF!</definedName>
    <definedName name="Surveys_3_High" localSheetId="5">'Project Plan - Target '!#REF!</definedName>
    <definedName name="Surveys_3_High" localSheetId="4">'Project Plan - Target Deepdive'!#REF!</definedName>
    <definedName name="Surveys_3_High" localSheetId="6">'Project Plan - Transf. Deepdive'!#REF!</definedName>
    <definedName name="Surveys_3_High" localSheetId="7">'Project Plan - Transformative'!#REF!</definedName>
    <definedName name="Surveys_3_High" localSheetId="9">#REF!</definedName>
    <definedName name="Surveys_3_High">'Project Plan - Self '!#REF!</definedName>
    <definedName name="Surveys_3_Low" localSheetId="9">#REF!</definedName>
    <definedName name="Surveys_3_Low">#REF!</definedName>
    <definedName name="Surveys_3_Medium" localSheetId="9">#REF!</definedName>
    <definedName name="Surveys_3_Medium">#REF!</definedName>
    <definedName name="technology_in_scope">"no"</definedName>
    <definedName name="Threshold">500</definedName>
    <definedName name="ToD_in_scope">"yes"</definedName>
    <definedName name="ToE1_in_scope">"yes"</definedName>
    <definedName name="ToE2_in_scope">"no"</definedName>
    <definedName name="Total_by_Grades_High" localSheetId="3">'Project Plan - Rapid'!#REF!</definedName>
    <definedName name="Total_by_Grades_High" localSheetId="5">'Project Plan - Target '!#REF!</definedName>
    <definedName name="Total_by_Grades_High" localSheetId="4">'Project Plan - Target Deepdive'!#REF!</definedName>
    <definedName name="Total_by_Grades_High" localSheetId="6">'Project Plan - Transf. Deepdive'!#REF!</definedName>
    <definedName name="Total_by_Grades_High" localSheetId="7">'Project Plan - Transformative'!#REF!</definedName>
    <definedName name="Total_by_Grades_High" localSheetId="9">#REF!</definedName>
    <definedName name="Total_by_Grades_High">'Project Plan - Self '!#REF!</definedName>
    <definedName name="Total_by_Grades_Low" localSheetId="9">#REF!</definedName>
    <definedName name="Total_by_Grades_Low">#REF!</definedName>
    <definedName name="Total_by_Grades_Medium" localSheetId="9">#REF!</definedName>
    <definedName name="Total_by_Grades_Medium">#REF!</definedName>
    <definedName name="Total_hours_Column_name_High" localSheetId="3">'Project Plan - Rapid'!#REF!</definedName>
    <definedName name="Total_hours_Column_name_High" localSheetId="5">'Project Plan - Target '!#REF!</definedName>
    <definedName name="Total_hours_Column_name_High" localSheetId="4">'Project Plan - Target Deepdive'!#REF!</definedName>
    <definedName name="Total_hours_Column_name_High" localSheetId="6">'Project Plan - Transf. Deepdive'!#REF!</definedName>
    <definedName name="Total_hours_Column_name_High" localSheetId="7">'Project Plan - Transformative'!#REF!</definedName>
    <definedName name="Total_hours_Column_name_High" localSheetId="9">#REF!</definedName>
    <definedName name="Total_hours_Column_name_High">'Project Plan - Self '!#REF!</definedName>
    <definedName name="Total_hours_Column_name_Low" localSheetId="9">#REF!</definedName>
    <definedName name="Total_hours_Column_name_Low">#REF!</definedName>
    <definedName name="Total_hours_Column_name_Medium" localSheetId="9">#REF!</definedName>
    <definedName name="Total_hours_Column_name_Medium">#REF!</definedName>
    <definedName name="working_type" localSheetId="9">OFFSET('[1]Rate Card'!#REF!,1,0,COUNTA('[1]Rate Card'!#REF!)-2,1)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7" i="5" l="1"/>
  <c r="I17" i="5"/>
  <c r="J17" i="5"/>
  <c r="K17" i="5"/>
  <c r="L17" i="5"/>
  <c r="M17" i="5"/>
  <c r="N17" i="5"/>
  <c r="O17" i="5"/>
  <c r="P17" i="5"/>
  <c r="F18" i="5"/>
  <c r="G18" i="5"/>
  <c r="F19" i="5"/>
  <c r="G19" i="5"/>
  <c r="F20" i="5"/>
  <c r="G20" i="5"/>
  <c r="F21" i="5"/>
  <c r="G21" i="5"/>
  <c r="F22" i="5"/>
  <c r="G22" i="5"/>
  <c r="F23" i="5"/>
  <c r="G23" i="5"/>
  <c r="F24" i="5"/>
  <c r="G24" i="5"/>
  <c r="F31" i="11"/>
  <c r="E9" i="11" s="1"/>
  <c r="J25" i="15"/>
  <c r="J27" i="15"/>
  <c r="J24" i="15"/>
  <c r="M16" i="15"/>
  <c r="M15" i="15"/>
  <c r="M14" i="15"/>
  <c r="M13" i="15"/>
  <c r="M12" i="15"/>
  <c r="M11" i="15"/>
  <c r="M10" i="15"/>
  <c r="M9" i="15"/>
  <c r="E16" i="15"/>
  <c r="E15" i="15"/>
  <c r="E14" i="15"/>
  <c r="E13" i="15"/>
  <c r="F12" i="15"/>
  <c r="G12" i="15" s="1"/>
  <c r="E12" i="15"/>
  <c r="E11" i="15"/>
  <c r="E8" i="15"/>
  <c r="E9" i="15" s="1"/>
  <c r="J25" i="14"/>
  <c r="J24" i="14" s="1"/>
  <c r="J27" i="14"/>
  <c r="M16" i="14"/>
  <c r="M15" i="14"/>
  <c r="M14" i="14"/>
  <c r="M13" i="14"/>
  <c r="M12" i="14"/>
  <c r="M11" i="14"/>
  <c r="M10" i="14"/>
  <c r="M9" i="14"/>
  <c r="E16" i="14"/>
  <c r="E15" i="14"/>
  <c r="E14" i="14"/>
  <c r="E13" i="14"/>
  <c r="F12" i="14"/>
  <c r="E12" i="14"/>
  <c r="G12" i="14" s="1"/>
  <c r="E11" i="14"/>
  <c r="E8" i="14"/>
  <c r="E9" i="14" s="1"/>
  <c r="J25" i="13"/>
  <c r="J24" i="13" s="1"/>
  <c r="J27" i="13"/>
  <c r="M9" i="13"/>
  <c r="M16" i="13"/>
  <c r="M15" i="13"/>
  <c r="M14" i="13"/>
  <c r="M13" i="13"/>
  <c r="M12" i="13"/>
  <c r="M11" i="13"/>
  <c r="M10" i="13"/>
  <c r="E16" i="13"/>
  <c r="E15" i="13"/>
  <c r="E14" i="13"/>
  <c r="E13" i="13"/>
  <c r="F12" i="13"/>
  <c r="G12" i="13" s="1"/>
  <c r="E12" i="13"/>
  <c r="E11" i="13"/>
  <c r="E8" i="13"/>
  <c r="E9" i="13" s="1"/>
  <c r="J27" i="12"/>
  <c r="E11" i="12"/>
  <c r="E8" i="12"/>
  <c r="E16" i="12"/>
  <c r="E15" i="12"/>
  <c r="E14" i="12"/>
  <c r="E13" i="12"/>
  <c r="G12" i="12"/>
  <c r="F12" i="12"/>
  <c r="E12" i="12"/>
  <c r="E9" i="12"/>
  <c r="J27" i="11"/>
  <c r="J24" i="11"/>
  <c r="J25" i="11"/>
  <c r="E13" i="11"/>
  <c r="E11" i="11"/>
  <c r="E8" i="11"/>
  <c r="M16" i="11"/>
  <c r="M15" i="11"/>
  <c r="M14" i="11"/>
  <c r="M13" i="11"/>
  <c r="M12" i="11"/>
  <c r="F8" i="11" s="1"/>
  <c r="F9" i="11" s="1"/>
  <c r="M11" i="11"/>
  <c r="M10" i="11"/>
  <c r="M9" i="11"/>
  <c r="E16" i="11"/>
  <c r="E15" i="11"/>
  <c r="E14" i="11"/>
  <c r="F12" i="11"/>
  <c r="G12" i="11" s="1"/>
  <c r="E12" i="11"/>
  <c r="J24" i="10"/>
  <c r="J25" i="10"/>
  <c r="F16" i="10"/>
  <c r="F15" i="10"/>
  <c r="F14" i="10"/>
  <c r="F13" i="10"/>
  <c r="F12" i="10"/>
  <c r="F11" i="10"/>
  <c r="L10" i="10"/>
  <c r="L11" i="10"/>
  <c r="L12" i="10"/>
  <c r="L13" i="10"/>
  <c r="L14" i="10"/>
  <c r="L15" i="10"/>
  <c r="L16" i="10"/>
  <c r="L9" i="10"/>
  <c r="F9" i="10"/>
  <c r="F8" i="10"/>
  <c r="M16" i="10"/>
  <c r="M15" i="10"/>
  <c r="M14" i="10"/>
  <c r="M13" i="10"/>
  <c r="M12" i="10"/>
  <c r="M11" i="10"/>
  <c r="M10" i="10"/>
  <c r="M9" i="10"/>
  <c r="G17" i="5" l="1"/>
  <c r="F17" i="5"/>
  <c r="J26" i="15"/>
  <c r="J28" i="15"/>
  <c r="F8" i="15"/>
  <c r="L9" i="15" s="1"/>
  <c r="F11" i="15" s="1"/>
  <c r="G11" i="15" s="1"/>
  <c r="J28" i="14"/>
  <c r="J26" i="14"/>
  <c r="F8" i="14"/>
  <c r="L13" i="14" s="1"/>
  <c r="F16" i="14" s="1"/>
  <c r="G16" i="14" s="1"/>
  <c r="J26" i="13"/>
  <c r="J28" i="13"/>
  <c r="F8" i="13"/>
  <c r="L12" i="13" s="1"/>
  <c r="J26" i="11"/>
  <c r="J28" i="11"/>
  <c r="L13" i="11"/>
  <c r="F16" i="11" s="1"/>
  <c r="G16" i="11" s="1"/>
  <c r="J26" i="10"/>
  <c r="L10" i="15" l="1"/>
  <c r="F9" i="15"/>
  <c r="G9" i="15" s="1"/>
  <c r="G8" i="15"/>
  <c r="L16" i="15"/>
  <c r="L15" i="15"/>
  <c r="L12" i="15"/>
  <c r="F15" i="15" s="1"/>
  <c r="G15" i="15" s="1"/>
  <c r="L14" i="15"/>
  <c r="L11" i="15"/>
  <c r="F14" i="15" s="1"/>
  <c r="G14" i="15" s="1"/>
  <c r="L13" i="15"/>
  <c r="F16" i="15" s="1"/>
  <c r="G16" i="15" s="1"/>
  <c r="L12" i="14"/>
  <c r="L9" i="14"/>
  <c r="F11" i="14" s="1"/>
  <c r="G11" i="14" s="1"/>
  <c r="F9" i="14"/>
  <c r="G9" i="14" s="1"/>
  <c r="L15" i="14"/>
  <c r="L10" i="14"/>
  <c r="L11" i="14"/>
  <c r="F14" i="14" s="1"/>
  <c r="G14" i="14" s="1"/>
  <c r="L14" i="14"/>
  <c r="G8" i="14"/>
  <c r="L16" i="14"/>
  <c r="L11" i="13"/>
  <c r="L16" i="13"/>
  <c r="F15" i="13" s="1"/>
  <c r="G15" i="13" s="1"/>
  <c r="L9" i="13"/>
  <c r="F11" i="13" s="1"/>
  <c r="G11" i="13" s="1"/>
  <c r="F9" i="13"/>
  <c r="G9" i="13" s="1"/>
  <c r="L10" i="13"/>
  <c r="L14" i="13"/>
  <c r="L15" i="13"/>
  <c r="L13" i="13"/>
  <c r="F16" i="13" s="1"/>
  <c r="G16" i="13" s="1"/>
  <c r="G8" i="13"/>
  <c r="G8" i="11"/>
  <c r="L11" i="11"/>
  <c r="L14" i="11"/>
  <c r="G9" i="11"/>
  <c r="L10" i="11"/>
  <c r="F13" i="11" s="1"/>
  <c r="G13" i="11" s="1"/>
  <c r="L9" i="11"/>
  <c r="L15" i="11"/>
  <c r="L16" i="11"/>
  <c r="L12" i="11"/>
  <c r="F11" i="11" l="1"/>
  <c r="G11" i="11" s="1"/>
  <c r="F13" i="15"/>
  <c r="G13" i="15" s="1"/>
  <c r="F15" i="14"/>
  <c r="G15" i="14" s="1"/>
  <c r="F13" i="14"/>
  <c r="G13" i="14" s="1"/>
  <c r="F14" i="13"/>
  <c r="G14" i="13" s="1"/>
  <c r="F13" i="13"/>
  <c r="G13" i="13" s="1"/>
  <c r="F15" i="11"/>
  <c r="G15" i="11" s="1"/>
  <c r="F14" i="11"/>
  <c r="G14" i="11" s="1"/>
  <c r="F31" i="10" l="1"/>
  <c r="G31" i="10"/>
  <c r="H31" i="10"/>
  <c r="I31" i="10"/>
  <c r="J31" i="10"/>
  <c r="K31" i="10" s="1"/>
  <c r="M31" i="10"/>
  <c r="F32" i="10"/>
  <c r="G32" i="10"/>
  <c r="H32" i="10"/>
  <c r="I32" i="10"/>
  <c r="J32" i="10"/>
  <c r="K32" i="10"/>
  <c r="M32" i="10"/>
  <c r="F33" i="10"/>
  <c r="G33" i="10"/>
  <c r="H33" i="10"/>
  <c r="I33" i="10"/>
  <c r="J33" i="10"/>
  <c r="K33" i="10"/>
  <c r="M33" i="10"/>
  <c r="F34" i="10"/>
  <c r="G34" i="10"/>
  <c r="H34" i="10"/>
  <c r="I34" i="10"/>
  <c r="J34" i="10"/>
  <c r="K34" i="10" s="1"/>
  <c r="M34" i="10"/>
  <c r="F35" i="10"/>
  <c r="G35" i="10"/>
  <c r="H35" i="10"/>
  <c r="I35" i="10"/>
  <c r="J35" i="10"/>
  <c r="M35" i="10"/>
  <c r="E36" i="10"/>
  <c r="F36" i="10"/>
  <c r="G36" i="10"/>
  <c r="H36" i="10"/>
  <c r="I36" i="10"/>
  <c r="J36" i="10"/>
  <c r="M36" i="10"/>
  <c r="F37" i="10"/>
  <c r="G37" i="10"/>
  <c r="H37" i="10"/>
  <c r="I37" i="10"/>
  <c r="J37" i="10"/>
  <c r="E38" i="10"/>
  <c r="F38" i="10"/>
  <c r="G38" i="10"/>
  <c r="H38" i="10"/>
  <c r="I38" i="10"/>
  <c r="J38" i="10"/>
  <c r="M38" i="10"/>
  <c r="G33" i="8"/>
  <c r="L32" i="10" l="1"/>
  <c r="L35" i="10"/>
  <c r="E8" i="10"/>
  <c r="G8" i="10" s="1"/>
  <c r="K35" i="10"/>
  <c r="L31" i="10"/>
  <c r="L34" i="10"/>
  <c r="E14" i="10" s="1"/>
  <c r="L33" i="10"/>
  <c r="K38" i="10"/>
  <c r="K36" i="10"/>
  <c r="E12" i="10"/>
  <c r="E16" i="10"/>
  <c r="E11" i="10"/>
  <c r="E13" i="10"/>
  <c r="E15" i="10"/>
  <c r="E9" i="10"/>
  <c r="G9" i="10" s="1"/>
  <c r="J32" i="15"/>
  <c r="K32" i="15" s="1"/>
  <c r="J33" i="15"/>
  <c r="K33" i="15" s="1"/>
  <c r="J34" i="15"/>
  <c r="K34" i="15" s="1"/>
  <c r="J35" i="15"/>
  <c r="K35" i="15" s="1"/>
  <c r="J36" i="15"/>
  <c r="K36" i="15" s="1"/>
  <c r="J37" i="15"/>
  <c r="K37" i="15" s="1"/>
  <c r="J38" i="15"/>
  <c r="K38" i="15" s="1"/>
  <c r="I32" i="15"/>
  <c r="I33" i="15"/>
  <c r="I34" i="15"/>
  <c r="I35" i="15"/>
  <c r="I36" i="15"/>
  <c r="I37" i="15"/>
  <c r="I38" i="15"/>
  <c r="H32" i="15"/>
  <c r="H33" i="15"/>
  <c r="H34" i="15"/>
  <c r="H35" i="15"/>
  <c r="H36" i="15"/>
  <c r="H37" i="15"/>
  <c r="H38" i="15"/>
  <c r="G34" i="15"/>
  <c r="G37" i="15"/>
  <c r="G38" i="15"/>
  <c r="F37" i="15"/>
  <c r="F38" i="15"/>
  <c r="F36" i="15"/>
  <c r="F32" i="15"/>
  <c r="F33" i="15"/>
  <c r="F34" i="15"/>
  <c r="F35" i="15"/>
  <c r="J31" i="15"/>
  <c r="K31" i="15" s="1"/>
  <c r="I31" i="15"/>
  <c r="H31" i="15"/>
  <c r="F31" i="15"/>
  <c r="J40" i="14"/>
  <c r="K40" i="14" s="1"/>
  <c r="J32" i="14"/>
  <c r="K32" i="14" s="1"/>
  <c r="J33" i="14"/>
  <c r="K33" i="14" s="1"/>
  <c r="J34" i="14"/>
  <c r="K34" i="14" s="1"/>
  <c r="J35" i="14"/>
  <c r="K35" i="14" s="1"/>
  <c r="J36" i="14"/>
  <c r="K36" i="14" s="1"/>
  <c r="J37" i="14"/>
  <c r="K37" i="14" s="1"/>
  <c r="J38" i="14"/>
  <c r="K38" i="14" s="1"/>
  <c r="J39" i="14"/>
  <c r="K39" i="14" s="1"/>
  <c r="I32" i="14"/>
  <c r="I33" i="14"/>
  <c r="I34" i="14"/>
  <c r="I35" i="14"/>
  <c r="I36" i="14"/>
  <c r="I37" i="14"/>
  <c r="I38" i="14"/>
  <c r="I39" i="14"/>
  <c r="I40" i="14"/>
  <c r="H32" i="14"/>
  <c r="H33" i="14"/>
  <c r="H34" i="14"/>
  <c r="H35" i="14"/>
  <c r="H36" i="14"/>
  <c r="H37" i="14"/>
  <c r="H38" i="14"/>
  <c r="H39" i="14"/>
  <c r="H40" i="14"/>
  <c r="G34" i="14"/>
  <c r="G39" i="14"/>
  <c r="G40" i="14"/>
  <c r="F39" i="14"/>
  <c r="F40" i="14"/>
  <c r="F37" i="14"/>
  <c r="F38" i="14"/>
  <c r="F32" i="14"/>
  <c r="F33" i="14"/>
  <c r="F34" i="14"/>
  <c r="F35" i="14"/>
  <c r="F36" i="14"/>
  <c r="J31" i="14"/>
  <c r="K31" i="14" s="1"/>
  <c r="I31" i="14"/>
  <c r="H31" i="14"/>
  <c r="F31" i="14"/>
  <c r="F18" i="7"/>
  <c r="O26" i="7"/>
  <c r="P26" i="7"/>
  <c r="O17" i="7"/>
  <c r="P17" i="7"/>
  <c r="F28" i="6"/>
  <c r="F29" i="6"/>
  <c r="F30" i="6"/>
  <c r="F31" i="6"/>
  <c r="F32" i="6"/>
  <c r="F33" i="6"/>
  <c r="F27" i="6"/>
  <c r="F19" i="6"/>
  <c r="F20" i="6"/>
  <c r="F21" i="6"/>
  <c r="F22" i="6"/>
  <c r="F23" i="6"/>
  <c r="F24" i="6"/>
  <c r="F18" i="6"/>
  <c r="F36" i="5"/>
  <c r="F28" i="5"/>
  <c r="F29" i="5"/>
  <c r="F30" i="5"/>
  <c r="F31" i="5"/>
  <c r="F32" i="5"/>
  <c r="F33" i="5"/>
  <c r="F27" i="5"/>
  <c r="F18" i="3"/>
  <c r="J32" i="13"/>
  <c r="K32" i="13" s="1"/>
  <c r="J33" i="13"/>
  <c r="K33" i="13" s="1"/>
  <c r="J34" i="13"/>
  <c r="K34" i="13" s="1"/>
  <c r="J35" i="13"/>
  <c r="K35" i="13" s="1"/>
  <c r="J36" i="13"/>
  <c r="K36" i="13" s="1"/>
  <c r="J37" i="13"/>
  <c r="K37" i="13" s="1"/>
  <c r="J38" i="13"/>
  <c r="K38" i="13" s="1"/>
  <c r="I32" i="13"/>
  <c r="I33" i="13"/>
  <c r="I34" i="13"/>
  <c r="I35" i="13"/>
  <c r="I36" i="13"/>
  <c r="I37" i="13"/>
  <c r="I38" i="13"/>
  <c r="H32" i="13"/>
  <c r="H33" i="13"/>
  <c r="H34" i="13"/>
  <c r="H35" i="13"/>
  <c r="H36" i="13"/>
  <c r="H37" i="13"/>
  <c r="H38" i="13"/>
  <c r="G34" i="13"/>
  <c r="G37" i="13"/>
  <c r="G38" i="13"/>
  <c r="F36" i="13"/>
  <c r="F37" i="13"/>
  <c r="F38" i="13"/>
  <c r="F32" i="13"/>
  <c r="F33" i="13"/>
  <c r="F34" i="13"/>
  <c r="F35" i="13"/>
  <c r="J31" i="13"/>
  <c r="K31" i="13" s="1"/>
  <c r="I31" i="13"/>
  <c r="H31" i="13"/>
  <c r="F31" i="13"/>
  <c r="J32" i="12"/>
  <c r="K32" i="12" s="1"/>
  <c r="J33" i="12"/>
  <c r="K33" i="12" s="1"/>
  <c r="J34" i="12"/>
  <c r="K34" i="12" s="1"/>
  <c r="J35" i="12"/>
  <c r="K35" i="12" s="1"/>
  <c r="J36" i="12"/>
  <c r="K36" i="12" s="1"/>
  <c r="J37" i="12"/>
  <c r="K37" i="12" s="1"/>
  <c r="J38" i="12"/>
  <c r="K38" i="12" s="1"/>
  <c r="J39" i="12"/>
  <c r="K39" i="12" s="1"/>
  <c r="J40" i="12"/>
  <c r="K40" i="12" s="1"/>
  <c r="I32" i="12"/>
  <c r="I33" i="12"/>
  <c r="I34" i="12"/>
  <c r="I35" i="12"/>
  <c r="I36" i="12"/>
  <c r="I37" i="12"/>
  <c r="I38" i="12"/>
  <c r="I39" i="12"/>
  <c r="I40" i="12"/>
  <c r="H32" i="12"/>
  <c r="H33" i="12"/>
  <c r="H34" i="12"/>
  <c r="H35" i="12"/>
  <c r="H36" i="12"/>
  <c r="H37" i="12"/>
  <c r="H38" i="12"/>
  <c r="H39" i="12"/>
  <c r="H40" i="12"/>
  <c r="G34" i="12"/>
  <c r="G39" i="12"/>
  <c r="G40" i="12"/>
  <c r="F38" i="12"/>
  <c r="F39" i="12"/>
  <c r="F40" i="12"/>
  <c r="F37" i="12"/>
  <c r="F35" i="12"/>
  <c r="F36" i="12"/>
  <c r="F34" i="12"/>
  <c r="F33" i="12"/>
  <c r="F32" i="12"/>
  <c r="J31" i="12"/>
  <c r="K31" i="12" s="1"/>
  <c r="I31" i="12"/>
  <c r="H31" i="12"/>
  <c r="F31" i="12"/>
  <c r="I36" i="11"/>
  <c r="I37" i="11"/>
  <c r="I38" i="11"/>
  <c r="H36" i="11"/>
  <c r="H37" i="11"/>
  <c r="H38" i="11"/>
  <c r="G37" i="11"/>
  <c r="G38" i="11"/>
  <c r="F36" i="11"/>
  <c r="F37" i="11"/>
  <c r="F38" i="11"/>
  <c r="J35" i="11"/>
  <c r="K35" i="11" s="1"/>
  <c r="I35" i="11"/>
  <c r="H35" i="11"/>
  <c r="F35" i="11"/>
  <c r="J34" i="11"/>
  <c r="K34" i="11" s="1"/>
  <c r="I34" i="11"/>
  <c r="H34" i="11"/>
  <c r="G34" i="11"/>
  <c r="F34" i="11"/>
  <c r="J33" i="11"/>
  <c r="K33" i="11" s="1"/>
  <c r="I33" i="11"/>
  <c r="H33" i="11"/>
  <c r="F33" i="11"/>
  <c r="J32" i="11"/>
  <c r="K32" i="11" s="1"/>
  <c r="I32" i="11"/>
  <c r="H32" i="11"/>
  <c r="F32" i="11"/>
  <c r="J31" i="11"/>
  <c r="K31" i="11" s="1"/>
  <c r="I31" i="11"/>
  <c r="H31" i="11"/>
  <c r="F24" i="7" l="1"/>
  <c r="F23" i="7"/>
  <c r="F22" i="7"/>
  <c r="F21" i="7"/>
  <c r="F20" i="7"/>
  <c r="F19" i="7"/>
  <c r="H17" i="3"/>
  <c r="F19" i="3"/>
  <c r="F20" i="3"/>
  <c r="F21" i="3"/>
  <c r="F22" i="3"/>
  <c r="F23" i="3"/>
  <c r="F24" i="3"/>
  <c r="I26" i="5"/>
  <c r="H39" i="3" l="1"/>
  <c r="F17" i="3"/>
  <c r="G36" i="6"/>
  <c r="G36" i="3"/>
  <c r="G36" i="4"/>
  <c r="G36" i="5"/>
  <c r="G36" i="8"/>
  <c r="G36" i="7"/>
  <c r="J39" i="7"/>
  <c r="P26" i="6"/>
  <c r="O26" i="6"/>
  <c r="N26" i="6"/>
  <c r="M26" i="6"/>
  <c r="L26" i="6"/>
  <c r="K26" i="6"/>
  <c r="J26" i="6"/>
  <c r="I26" i="6"/>
  <c r="H26" i="6"/>
  <c r="P17" i="6"/>
  <c r="O17" i="6"/>
  <c r="N17" i="6"/>
  <c r="M17" i="6"/>
  <c r="L17" i="6"/>
  <c r="K17" i="6"/>
  <c r="J17" i="6"/>
  <c r="I17" i="6"/>
  <c r="I39" i="6" s="1"/>
  <c r="H17" i="6"/>
  <c r="N26" i="7"/>
  <c r="N39" i="7" s="1"/>
  <c r="M26" i="7"/>
  <c r="L26" i="7"/>
  <c r="K26" i="7"/>
  <c r="J26" i="7"/>
  <c r="I26" i="7"/>
  <c r="H26" i="7"/>
  <c r="N17" i="7"/>
  <c r="M17" i="7"/>
  <c r="L17" i="7"/>
  <c r="K17" i="7"/>
  <c r="J17" i="7"/>
  <c r="I17" i="7"/>
  <c r="I39" i="7" s="1"/>
  <c r="H17" i="7"/>
  <c r="P26" i="8"/>
  <c r="O26" i="8"/>
  <c r="N26" i="8"/>
  <c r="M26" i="8"/>
  <c r="L26" i="8"/>
  <c r="K26" i="8"/>
  <c r="J26" i="8"/>
  <c r="I26" i="8"/>
  <c r="H26" i="8"/>
  <c r="P17" i="8"/>
  <c r="O17" i="8"/>
  <c r="N17" i="8"/>
  <c r="M17" i="8"/>
  <c r="L17" i="8"/>
  <c r="K17" i="8"/>
  <c r="J17" i="8"/>
  <c r="I17" i="8"/>
  <c r="H17" i="8"/>
  <c r="G30" i="8"/>
  <c r="G18" i="6"/>
  <c r="I39" i="5"/>
  <c r="I26" i="4"/>
  <c r="I17" i="4"/>
  <c r="I26" i="3"/>
  <c r="I17" i="3"/>
  <c r="G32" i="8"/>
  <c r="G31" i="8"/>
  <c r="G29" i="8"/>
  <c r="G28" i="8"/>
  <c r="G27" i="8"/>
  <c r="G24" i="8"/>
  <c r="G23" i="8"/>
  <c r="G22" i="8"/>
  <c r="G21" i="8"/>
  <c r="G20" i="8"/>
  <c r="G19" i="8"/>
  <c r="G18" i="8"/>
  <c r="G33" i="7"/>
  <c r="G32" i="7"/>
  <c r="G31" i="7"/>
  <c r="G30" i="7"/>
  <c r="G29" i="7"/>
  <c r="G28" i="7"/>
  <c r="G27" i="7"/>
  <c r="G24" i="7"/>
  <c r="G23" i="7"/>
  <c r="G22" i="7"/>
  <c r="G21" i="7"/>
  <c r="G20" i="7"/>
  <c r="G19" i="7"/>
  <c r="G18" i="7"/>
  <c r="G33" i="6"/>
  <c r="G32" i="6"/>
  <c r="G31" i="6"/>
  <c r="G30" i="6"/>
  <c r="G29" i="6"/>
  <c r="G28" i="6"/>
  <c r="G27" i="6"/>
  <c r="G24" i="6"/>
  <c r="G23" i="6"/>
  <c r="G21" i="6"/>
  <c r="G20" i="6"/>
  <c r="G19" i="6"/>
  <c r="G33" i="5"/>
  <c r="G32" i="5"/>
  <c r="G31" i="5"/>
  <c r="G30" i="5"/>
  <c r="G29" i="5"/>
  <c r="G28" i="5"/>
  <c r="G27" i="5"/>
  <c r="P26" i="5"/>
  <c r="O26" i="5"/>
  <c r="N26" i="5"/>
  <c r="M26" i="5"/>
  <c r="L26" i="5"/>
  <c r="L39" i="5" s="1"/>
  <c r="M12" i="12" s="1"/>
  <c r="K26" i="5"/>
  <c r="K39" i="5" s="1"/>
  <c r="M11" i="12" s="1"/>
  <c r="J26" i="5"/>
  <c r="J39" i="5" s="1"/>
  <c r="H26" i="5"/>
  <c r="G33" i="3"/>
  <c r="G32" i="3"/>
  <c r="G31" i="3"/>
  <c r="G30" i="3"/>
  <c r="G29" i="3"/>
  <c r="G28" i="3"/>
  <c r="G27" i="3"/>
  <c r="P26" i="3"/>
  <c r="O26" i="3"/>
  <c r="N26" i="3"/>
  <c r="M26" i="3"/>
  <c r="L26" i="3"/>
  <c r="K26" i="3"/>
  <c r="J26" i="3"/>
  <c r="H26" i="3"/>
  <c r="G24" i="3"/>
  <c r="G23" i="3"/>
  <c r="G22" i="3"/>
  <c r="G21" i="3"/>
  <c r="G20" i="3"/>
  <c r="G19" i="3"/>
  <c r="G18" i="3"/>
  <c r="P17" i="3"/>
  <c r="O17" i="3"/>
  <c r="N17" i="3"/>
  <c r="M17" i="3"/>
  <c r="L17" i="3"/>
  <c r="K17" i="3"/>
  <c r="J17" i="3"/>
  <c r="G28" i="4"/>
  <c r="G29" i="4"/>
  <c r="G30" i="4"/>
  <c r="G31" i="4"/>
  <c r="G32" i="4"/>
  <c r="G33" i="4"/>
  <c r="G27" i="4"/>
  <c r="G24" i="4"/>
  <c r="P26" i="4"/>
  <c r="O26" i="4"/>
  <c r="N26" i="4"/>
  <c r="M26" i="4"/>
  <c r="L26" i="4"/>
  <c r="K26" i="4"/>
  <c r="J26" i="4"/>
  <c r="H26" i="4"/>
  <c r="P17" i="4"/>
  <c r="O17" i="4"/>
  <c r="N17" i="4"/>
  <c r="N39" i="4" s="1"/>
  <c r="M17" i="4"/>
  <c r="M39" i="4" s="1"/>
  <c r="L17" i="4"/>
  <c r="K17" i="4"/>
  <c r="J17" i="4"/>
  <c r="J36" i="11"/>
  <c r="M10" i="12" l="1"/>
  <c r="L39" i="7"/>
  <c r="M39" i="5"/>
  <c r="M13" i="12" s="1"/>
  <c r="O39" i="5"/>
  <c r="M15" i="12" s="1"/>
  <c r="H39" i="5"/>
  <c r="M9" i="12" s="1"/>
  <c r="P39" i="5"/>
  <c r="M16" i="12" s="1"/>
  <c r="L39" i="4"/>
  <c r="J39" i="4"/>
  <c r="P39" i="4"/>
  <c r="I39" i="4"/>
  <c r="K39" i="4"/>
  <c r="O39" i="4"/>
  <c r="L39" i="3"/>
  <c r="M39" i="3"/>
  <c r="I39" i="8"/>
  <c r="N39" i="8"/>
  <c r="K39" i="8"/>
  <c r="J39" i="8"/>
  <c r="P39" i="6"/>
  <c r="N39" i="5"/>
  <c r="M14" i="12" s="1"/>
  <c r="G26" i="5"/>
  <c r="G39" i="5" s="1"/>
  <c r="F29" i="3"/>
  <c r="F32" i="3"/>
  <c r="F30" i="3"/>
  <c r="F31" i="3"/>
  <c r="F33" i="3"/>
  <c r="F36" i="3"/>
  <c r="F27" i="3"/>
  <c r="F28" i="3"/>
  <c r="F36" i="4"/>
  <c r="F28" i="4"/>
  <c r="F20" i="4"/>
  <c r="F21" i="4"/>
  <c r="F24" i="4"/>
  <c r="F29" i="4"/>
  <c r="F30" i="4"/>
  <c r="F22" i="4"/>
  <c r="F23" i="4"/>
  <c r="F31" i="4"/>
  <c r="F32" i="4"/>
  <c r="F19" i="4"/>
  <c r="F33" i="4"/>
  <c r="F18" i="4"/>
  <c r="F27" i="4"/>
  <c r="F29" i="8"/>
  <c r="F19" i="8"/>
  <c r="F36" i="6"/>
  <c r="F30" i="7"/>
  <c r="F30" i="8"/>
  <c r="F20" i="8"/>
  <c r="F23" i="8"/>
  <c r="F31" i="8"/>
  <c r="F21" i="8"/>
  <c r="F28" i="7"/>
  <c r="F32" i="8"/>
  <c r="F22" i="8"/>
  <c r="F29" i="7"/>
  <c r="F33" i="8"/>
  <c r="F36" i="8"/>
  <c r="F24" i="8"/>
  <c r="F31" i="7"/>
  <c r="F28" i="8"/>
  <c r="F33" i="7"/>
  <c r="F36" i="7"/>
  <c r="F27" i="8"/>
  <c r="F18" i="8"/>
  <c r="F32" i="7"/>
  <c r="F27" i="7"/>
  <c r="P39" i="7"/>
  <c r="H39" i="7"/>
  <c r="K39" i="7"/>
  <c r="J39" i="6"/>
  <c r="M39" i="7"/>
  <c r="O39" i="7"/>
  <c r="G26" i="7"/>
  <c r="G17" i="7"/>
  <c r="O39" i="6"/>
  <c r="M39" i="6"/>
  <c r="G26" i="6"/>
  <c r="N39" i="6"/>
  <c r="K39" i="6"/>
  <c r="L39" i="6"/>
  <c r="G22" i="6"/>
  <c r="G17" i="6" s="1"/>
  <c r="H39" i="6"/>
  <c r="H39" i="8"/>
  <c r="O39" i="8"/>
  <c r="P39" i="8"/>
  <c r="G23" i="4"/>
  <c r="K39" i="3"/>
  <c r="I39" i="3"/>
  <c r="G26" i="4"/>
  <c r="J39" i="3"/>
  <c r="G26" i="3"/>
  <c r="N39" i="3"/>
  <c r="O39" i="3"/>
  <c r="P39" i="3"/>
  <c r="G17" i="8"/>
  <c r="L39" i="8"/>
  <c r="G26" i="8"/>
  <c r="M39" i="8"/>
  <c r="G17" i="3"/>
  <c r="M38" i="15"/>
  <c r="M36" i="15"/>
  <c r="M35" i="15"/>
  <c r="M34" i="15"/>
  <c r="M33" i="15"/>
  <c r="M32" i="15"/>
  <c r="M31" i="15"/>
  <c r="M40" i="14"/>
  <c r="E40" i="14"/>
  <c r="M38" i="14"/>
  <c r="M37" i="14"/>
  <c r="M36" i="14"/>
  <c r="L36" i="14" s="1"/>
  <c r="M35" i="14"/>
  <c r="M34" i="14"/>
  <c r="L34" i="14" s="1"/>
  <c r="M33" i="14"/>
  <c r="M32" i="14"/>
  <c r="L31" i="14" s="1"/>
  <c r="M31" i="14"/>
  <c r="L38" i="14" s="1"/>
  <c r="M38" i="13"/>
  <c r="M36" i="13"/>
  <c r="M35" i="13"/>
  <c r="L35" i="13" s="1"/>
  <c r="M34" i="13"/>
  <c r="M33" i="13"/>
  <c r="M32" i="13"/>
  <c r="M31" i="13"/>
  <c r="L31" i="13" s="1"/>
  <c r="M40" i="12"/>
  <c r="L33" i="12" s="1"/>
  <c r="E40" i="12"/>
  <c r="M38" i="12"/>
  <c r="M37" i="12"/>
  <c r="M36" i="12"/>
  <c r="M35" i="12"/>
  <c r="M34" i="12"/>
  <c r="M33" i="12"/>
  <c r="M32" i="12"/>
  <c r="L32" i="12"/>
  <c r="M31" i="12"/>
  <c r="M38" i="11"/>
  <c r="J38" i="11"/>
  <c r="E38" i="11"/>
  <c r="M36" i="11"/>
  <c r="K36" i="11" s="1"/>
  <c r="M35" i="11"/>
  <c r="M34" i="11"/>
  <c r="L34" i="11" s="1"/>
  <c r="M33" i="11"/>
  <c r="M32" i="11"/>
  <c r="M31" i="11"/>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22" i="9"/>
  <c r="F21" i="9"/>
  <c r="F20" i="9"/>
  <c r="F19" i="9"/>
  <c r="F18" i="9"/>
  <c r="F17" i="9"/>
  <c r="F15" i="9"/>
  <c r="F14" i="9"/>
  <c r="F13" i="9"/>
  <c r="F8" i="12" l="1"/>
  <c r="G32" i="11"/>
  <c r="G32" i="14"/>
  <c r="G32" i="13"/>
  <c r="G32" i="15"/>
  <c r="G32" i="12"/>
  <c r="G35" i="12"/>
  <c r="G35" i="13"/>
  <c r="G35" i="14"/>
  <c r="G35" i="15"/>
  <c r="G36" i="12"/>
  <c r="G36" i="14"/>
  <c r="G37" i="14"/>
  <c r="G37" i="12"/>
  <c r="G35" i="11"/>
  <c r="G36" i="15"/>
  <c r="G38" i="14"/>
  <c r="G36" i="11"/>
  <c r="G36" i="13"/>
  <c r="G38" i="12"/>
  <c r="G33" i="13"/>
  <c r="G33" i="14"/>
  <c r="G33" i="15"/>
  <c r="G33" i="11"/>
  <c r="G33" i="12"/>
  <c r="G31" i="14"/>
  <c r="G31" i="13"/>
  <c r="G31" i="12"/>
  <c r="G31" i="11"/>
  <c r="G31" i="15"/>
  <c r="G39" i="6"/>
  <c r="G39" i="7"/>
  <c r="F26" i="5"/>
  <c r="F26" i="6"/>
  <c r="F17" i="8"/>
  <c r="F26" i="3"/>
  <c r="F39" i="3" s="1"/>
  <c r="F26" i="7"/>
  <c r="F17" i="7"/>
  <c r="F26" i="8"/>
  <c r="F17" i="6"/>
  <c r="F26" i="4"/>
  <c r="L32" i="13"/>
  <c r="L34" i="15"/>
  <c r="L33" i="13"/>
  <c r="L33" i="15"/>
  <c r="G22" i="4"/>
  <c r="G39" i="3"/>
  <c r="G39" i="8"/>
  <c r="K38" i="11"/>
  <c r="L32" i="11"/>
  <c r="L36" i="11"/>
  <c r="L31" i="12"/>
  <c r="L35" i="12"/>
  <c r="L40" i="14"/>
  <c r="L31" i="15"/>
  <c r="L35" i="15"/>
  <c r="L34" i="13"/>
  <c r="L33" i="14"/>
  <c r="L37" i="14"/>
  <c r="L31" i="11"/>
  <c r="L35" i="11"/>
  <c r="L34" i="12"/>
  <c r="L38" i="12"/>
  <c r="L32" i="14"/>
  <c r="L37" i="12"/>
  <c r="L36" i="13"/>
  <c r="L35" i="14"/>
  <c r="L33" i="11"/>
  <c r="L36" i="12"/>
  <c r="L32" i="15"/>
  <c r="L36" i="15"/>
  <c r="F9" i="12" l="1"/>
  <c r="G9" i="12" s="1"/>
  <c r="G8" i="12"/>
  <c r="L11" i="12"/>
  <c r="L12" i="12"/>
  <c r="L16" i="12"/>
  <c r="L10" i="12"/>
  <c r="L9" i="12"/>
  <c r="L13" i="12"/>
  <c r="F16" i="12" s="1"/>
  <c r="G16" i="12" s="1"/>
  <c r="L15" i="12"/>
  <c r="L14" i="12"/>
  <c r="F39" i="7"/>
  <c r="F39" i="6"/>
  <c r="F39" i="5"/>
  <c r="J25" i="12" s="1"/>
  <c r="J24" i="12" s="1"/>
  <c r="F39" i="8"/>
  <c r="G21" i="4"/>
  <c r="I25" i="11"/>
  <c r="I24" i="11" s="1"/>
  <c r="I27" i="11" s="1"/>
  <c r="I28" i="11" s="1"/>
  <c r="I25" i="13"/>
  <c r="I24" i="13" s="1"/>
  <c r="I27" i="13" s="1"/>
  <c r="I28" i="13" s="1"/>
  <c r="I25" i="14"/>
  <c r="I24" i="14" s="1"/>
  <c r="I26" i="14" s="1"/>
  <c r="I25" i="12"/>
  <c r="I24" i="12" s="1"/>
  <c r="I27" i="12" s="1"/>
  <c r="I28" i="12" s="1"/>
  <c r="I25" i="10"/>
  <c r="I24" i="10" s="1"/>
  <c r="I25" i="15"/>
  <c r="I24" i="15" s="1"/>
  <c r="I27" i="15" s="1"/>
  <c r="I28" i="15" s="1"/>
  <c r="F13" i="12" l="1"/>
  <c r="G13" i="12" s="1"/>
  <c r="F14" i="12"/>
  <c r="G14" i="12" s="1"/>
  <c r="F11" i="12"/>
  <c r="G11" i="12" s="1"/>
  <c r="J26" i="12"/>
  <c r="J28" i="12"/>
  <c r="F15" i="12"/>
  <c r="G15" i="12" s="1"/>
  <c r="J27" i="10"/>
  <c r="J28" i="10" s="1"/>
  <c r="I27" i="10"/>
  <c r="I26" i="10"/>
  <c r="I26" i="13"/>
  <c r="G20" i="4"/>
  <c r="I26" i="11"/>
  <c r="I27" i="14"/>
  <c r="I28" i="14" s="1"/>
  <c r="I26" i="12"/>
  <c r="I26" i="15"/>
  <c r="I28" i="10" l="1"/>
  <c r="G19" i="4"/>
  <c r="H17" i="4" l="1"/>
  <c r="H39" i="4" s="1"/>
  <c r="F17" i="4"/>
  <c r="F39" i="4" s="1"/>
  <c r="G18" i="4"/>
  <c r="G17" i="4" s="1"/>
  <c r="G39" i="4" s="1"/>
  <c r="G11" i="10"/>
  <c r="G13" i="10" l="1"/>
  <c r="G16" i="10"/>
  <c r="G14" i="10"/>
  <c r="G15" i="10"/>
  <c r="G12" i="10"/>
</calcChain>
</file>

<file path=xl/sharedStrings.xml><?xml version="1.0" encoding="utf-8"?>
<sst xmlns="http://schemas.openxmlformats.org/spreadsheetml/2006/main" count="862" uniqueCount="186">
  <si>
    <t xml:space="preserve">Supply Chain Cost Reduction and Cash Extraction </t>
  </si>
  <si>
    <t>Normative Model</t>
  </si>
  <si>
    <t>Instructions how to use this model</t>
  </si>
  <si>
    <t>This model allows to compile a project plan, calculate normative hours and plan resources for your Supply Chain Cost Reduction and Cash Extraction engagement.
Below, there is a description of the model's worksheets.</t>
  </si>
  <si>
    <t>Worksheet</t>
  </si>
  <si>
    <t>Description</t>
  </si>
  <si>
    <t>Activities in scope</t>
  </si>
  <si>
    <t>Start with this worksheet. Provide information about your client and the scope of the opportunity.
Click the "See considerations and assumptions used in this model" button on the upper right to see assumptions and considerations used in the model. This button will take you to the "Considerations" worksheet.</t>
  </si>
  <si>
    <t>Click the "Continue" button on the bottom when done. It will take you to the "Project Plan" worksheet.</t>
  </si>
  <si>
    <t>Project Plan</t>
  </si>
  <si>
    <t>This worksheet provides a project plan and normative hours for your engagement based on your inputs. Use it as a guidance and a reference when planning the project and resources.
Press the "Continue" button on the top to proceed to the "Rate Card" worksheet, where you will be able to plan your resources for the engagement.</t>
  </si>
  <si>
    <t>Rate Card</t>
  </si>
  <si>
    <t>Provide information about resources that you intend to use for your project. It includes individual's names, ranks and other information. Click "Continue to resource plan" button when done.</t>
  </si>
  <si>
    <t>Resource Plan</t>
  </si>
  <si>
    <t>Fill out the resource plan for your project and compare it to the normative hours provided by the model. If there is a deviation between your resource plan and the normative plan, please provide explanations. 
Provide your target margin. You will see engagement economics estimates that can help you plan resources.
Click the "Fill out the resource pool" button to go back to the "Rate Card" worksheet to make adjustments to the list of your resources, if needed.</t>
  </si>
  <si>
    <t>Considerations</t>
  </si>
  <si>
    <t>This model allows to compile a project plan, calculate normative hours and plan resources for your Supply Chain Cost Reduction and Cash Extraction  engagement.
Start with this worksheet. Fill out the information requested below. All fields in the left section "Activities in scope" are mandatory, please fill them all. The section "Cost Rates" on the right is optional, although recommended, and you should fill it out if you want to see estimates of the FTE costs for your engagement.
When done, press the "Continue" button at the bottom of the worksheet to proceed to the Project Plan calculated for your engagement based on the inputs that you provided.
Click on the button on the right to see considerations and assumptions used in this model.</t>
  </si>
  <si>
    <t xml:space="preserve"> Activities in scope</t>
  </si>
  <si>
    <t xml:space="preserve">  Cost Rates</t>
  </si>
  <si>
    <t>Answer the following questions in order to define the scope of the project</t>
  </si>
  <si>
    <t>As cost rates differ depending on a region and a service line, the project team needs to fill out the cost rates to get estimates of the FTE cost. Please fill out the cost rates before you begin:</t>
  </si>
  <si>
    <t>What is the complexity of the engagement?</t>
  </si>
  <si>
    <t>Cost Rates</t>
  </si>
  <si>
    <t>Grade</t>
  </si>
  <si>
    <t>Partner</t>
  </si>
  <si>
    <t>Senior Manager</t>
  </si>
  <si>
    <t>Manager</t>
  </si>
  <si>
    <t>Senior</t>
  </si>
  <si>
    <t>Staff</t>
  </si>
  <si>
    <t>GDS Senior Manager</t>
  </si>
  <si>
    <t>GDS Manager</t>
  </si>
  <si>
    <t>GDS Senior</t>
  </si>
  <si>
    <t>Transformative Assessment Deep Dive</t>
  </si>
  <si>
    <t>Cost rate, $</t>
  </si>
  <si>
    <t>Self Assessment</t>
  </si>
  <si>
    <t>Note:</t>
  </si>
  <si>
    <t>Rapid Assessment</t>
  </si>
  <si>
    <t>Please fill out cost rates for Partner 1, Senior Manager 1, Manager 1, Senior 1, Staff 1 for your country and service line, as well as GDS Manager and GDS Senior (as shown in the table below). These cost rates will be used for preliminary calculations of the FTE cost. On the following worksheets, you will be able to provide cost rates for specific employees you are going to involve in your project, and will get more a precise cost estimate.</t>
  </si>
  <si>
    <t>Target Assessment</t>
  </si>
  <si>
    <t>x</t>
  </si>
  <si>
    <t>Target Assessment Deep Dive</t>
  </si>
  <si>
    <t>Specific Rank</t>
  </si>
  <si>
    <t>Transformative Assessment</t>
  </si>
  <si>
    <t>Partner =</t>
  </si>
  <si>
    <t>Partner 1</t>
  </si>
  <si>
    <t>Senior Manager =</t>
  </si>
  <si>
    <t>Senior Manager 1</t>
  </si>
  <si>
    <t>Manager =</t>
  </si>
  <si>
    <t>Manager 1</t>
  </si>
  <si>
    <t>Senior =</t>
  </si>
  <si>
    <t>Senior 1</t>
  </si>
  <si>
    <t xml:space="preserve">Staff = </t>
  </si>
  <si>
    <t>Staff 1</t>
  </si>
  <si>
    <t>This worksheet provides a project plan and normative hours for your engagement based on your inputs. FTE cost represents an estimate, not a precise cost for your engagement.</t>
  </si>
  <si>
    <t>Use it as a guidance and a reference when planning the project and resources. Do not edit the hours provided on this worksheet as they represent the normative hours and normative distribution by grades.</t>
  </si>
  <si>
    <t>Use the option buttons below for different views. Press the "Continue" button below to proceed to the "Rate Card" worksheet, where you will be able to plan your resources for the engagement.</t>
  </si>
  <si>
    <t>Supply Chain Cost Reduction and Cash Extraction</t>
  </si>
  <si>
    <t>Summary</t>
  </si>
  <si>
    <t>Activities</t>
  </si>
  <si>
    <t>Normative project metrics</t>
  </si>
  <si>
    <t>Total hours by grades</t>
  </si>
  <si>
    <t>Total FTE cost, $</t>
  </si>
  <si>
    <t>Total hours</t>
  </si>
  <si>
    <t>PPED</t>
  </si>
  <si>
    <t>SMR (Senior Manager 1)</t>
  </si>
  <si>
    <t>Senior Manager 2</t>
  </si>
  <si>
    <t>Diagnose</t>
  </si>
  <si>
    <t>Establish Guiding Principles</t>
  </si>
  <si>
    <t>Build Team</t>
  </si>
  <si>
    <t>Baseline</t>
  </si>
  <si>
    <t>Benchmark</t>
  </si>
  <si>
    <t>Set Targets</t>
  </si>
  <si>
    <t>Perform Budgeting</t>
  </si>
  <si>
    <t>Build Roadmap</t>
  </si>
  <si>
    <t>Implement</t>
  </si>
  <si>
    <t>Conduct Workshops</t>
  </si>
  <si>
    <t>Undertake Cost Takeout Initiatives</t>
  </si>
  <si>
    <t>Prioritize</t>
  </si>
  <si>
    <t>Determine Program Structure</t>
  </si>
  <si>
    <t>Communicate</t>
  </si>
  <si>
    <t>Track and Realize</t>
  </si>
  <si>
    <t>Review and Learn</t>
  </si>
  <si>
    <t xml:space="preserve">      Manage the Project</t>
  </si>
  <si>
    <t>Total</t>
  </si>
  <si>
    <t xml:space="preserve">This worksheet allows to put together a resource pool that you will then be able to use when creating a resource plan for your engagement. </t>
  </si>
  <si>
    <r>
      <rPr>
        <b/>
        <sz val="11"/>
        <color theme="1"/>
        <rFont val="Calibri"/>
        <family val="2"/>
        <scheme val="minor"/>
      </rPr>
      <t>Mandatory fields:</t>
    </r>
    <r>
      <rPr>
        <sz val="11"/>
        <color theme="1"/>
        <rFont val="Calibri"/>
        <family val="2"/>
        <scheme val="minor"/>
      </rPr>
      <t xml:space="preserve">
- Resource Name
- Rank (choose from a drop-down list)</t>
    </r>
  </si>
  <si>
    <r>
      <rPr>
        <b/>
        <sz val="11"/>
        <color theme="1"/>
        <rFont val="Calibri"/>
        <family val="2"/>
        <scheme val="minor"/>
      </rPr>
      <t>Optional fields:</t>
    </r>
    <r>
      <rPr>
        <sz val="11"/>
        <color theme="1"/>
        <rFont val="Calibri"/>
        <family val="2"/>
        <scheme val="minor"/>
      </rPr>
      <t xml:space="preserve">
- Role on the project
- Country
- Service line/Group
- Cost rate (you need to fill it out if you want to see FTE cost and the engagement economics estimate - TER, TNR, gross margin - to help you plan price for the client. The precise engagement economics should be defined in Mercury, while this tool provides an estimate.)</t>
    </r>
  </si>
  <si>
    <t>Do not modify the "Rank grouping" column, which is marked grey. It is calculated by the model.
When done, press the "Continue to resource plan" button below to proceed to the Resource Plan worksheet.</t>
  </si>
  <si>
    <t>Enter resources that you plan to use for your engagement</t>
  </si>
  <si>
    <t>Below is a pre-defined lists of project roles and ranks that are used for drop-down lists in this model. You may modify or add roles as needed.</t>
  </si>
  <si>
    <t>This table is pre-populated with sample data. Change it as needed.</t>
  </si>
  <si>
    <t>Specify roles that will be assigned to people on your project. This table is optional, you can skip it if you do not want to use roles when planning your resources.</t>
  </si>
  <si>
    <t>If there is a need to reflect different cost rates for the same person, e.g. when we cross the FY end or due to promotions, add a separate line for same resource to show the new rate.</t>
  </si>
  <si>
    <t>Resource Name</t>
  </si>
  <si>
    <t>Rank</t>
  </si>
  <si>
    <t>Rank grouping</t>
  </si>
  <si>
    <t>Country (optional)</t>
  </si>
  <si>
    <t>Service line/Group (optional)</t>
  </si>
  <si>
    <t>Cost rate</t>
  </si>
  <si>
    <t>Ranks</t>
  </si>
  <si>
    <t>Name 1</t>
  </si>
  <si>
    <t>United States</t>
  </si>
  <si>
    <t>Supply Chain</t>
  </si>
  <si>
    <t>Name 2</t>
  </si>
  <si>
    <t>Partner 2</t>
  </si>
  <si>
    <t>Name 3</t>
  </si>
  <si>
    <t>Partner 3</t>
  </si>
  <si>
    <t>Name 4</t>
  </si>
  <si>
    <t>Executive Director 1</t>
  </si>
  <si>
    <t>Director</t>
  </si>
  <si>
    <t>Name 5</t>
  </si>
  <si>
    <t>Executive Director 2</t>
  </si>
  <si>
    <t>Name 6</t>
  </si>
  <si>
    <t>Executive Director 3</t>
  </si>
  <si>
    <t>Name 7</t>
  </si>
  <si>
    <t>India</t>
  </si>
  <si>
    <t>GDS</t>
  </si>
  <si>
    <t>Associate Director</t>
  </si>
  <si>
    <t>Name 8</t>
  </si>
  <si>
    <t>Name 9</t>
  </si>
  <si>
    <t>Senior Manager 3</t>
  </si>
  <si>
    <t>Assistant Director</t>
  </si>
  <si>
    <t>Manager 2</t>
  </si>
  <si>
    <t>Manager 3</t>
  </si>
  <si>
    <t>Senior 2</t>
  </si>
  <si>
    <t>Senior 3</t>
  </si>
  <si>
    <t>Staff 2</t>
  </si>
  <si>
    <t>Staff 3</t>
  </si>
  <si>
    <t>GDS Partner</t>
  </si>
  <si>
    <t>GDS Director</t>
  </si>
  <si>
    <t>GDS Associate Director</t>
  </si>
  <si>
    <t>GDS Assistant Director</t>
  </si>
  <si>
    <t>GDS Staff 1</t>
  </si>
  <si>
    <t>GDS Staff 2</t>
  </si>
  <si>
    <t>GDS Staff 3</t>
  </si>
  <si>
    <t>Normative resource plan and calculation of deviations</t>
  </si>
  <si>
    <t>Deviations from normative resource plan</t>
  </si>
  <si>
    <t>Normative resource plan</t>
  </si>
  <si>
    <t>Your plan (below)</t>
  </si>
  <si>
    <t>Normative plan</t>
  </si>
  <si>
    <t>Deviations</t>
  </si>
  <si>
    <t>Provide reasons for the deviations:</t>
  </si>
  <si>
    <t>% of total hours</t>
  </si>
  <si>
    <t>Total Hours</t>
  </si>
  <si>
    <t>GDS involvement</t>
  </si>
  <si>
    <t>Resource mix:</t>
  </si>
  <si>
    <t>Your resource plan and engagement economics</t>
  </si>
  <si>
    <t>Adjust the resource plan for your client needs and assign resources. We have pre-populated the resource plan for you based on the normative values. Add weeks as needed.
If your resource plan deviates from the normative values, please add explanation of these variancies in the table above.</t>
  </si>
  <si>
    <t>Enter target margin and expenses, %</t>
  </si>
  <si>
    <t>Engagement economics calculation</t>
  </si>
  <si>
    <t>Based on your resource plan below on this worksheet:</t>
  </si>
  <si>
    <t>Based on project plan worksheet</t>
  </si>
  <si>
    <t>Margin:</t>
  </si>
  <si>
    <t>Total Net Revenue (TNR) / Fee Revenue</t>
  </si>
  <si>
    <r>
      <t xml:space="preserve">Expenses </t>
    </r>
    <r>
      <rPr>
        <i/>
        <sz val="11"/>
        <color theme="0"/>
        <rFont val="Calibri"/>
        <family val="2"/>
        <scheme val="minor"/>
      </rPr>
      <t>(% of TNR)</t>
    </r>
    <r>
      <rPr>
        <b/>
        <sz val="11"/>
        <color theme="0"/>
        <rFont val="Calibri"/>
        <family val="2"/>
        <scheme val="minor"/>
      </rPr>
      <t>:</t>
    </r>
  </si>
  <si>
    <t>FTE Cost</t>
  </si>
  <si>
    <t>Gross Margin</t>
  </si>
  <si>
    <t>Expenses</t>
  </si>
  <si>
    <t>Total Engagement Revenue</t>
  </si>
  <si>
    <t>Workstream</t>
  </si>
  <si>
    <t>Rank Grouping</t>
  </si>
  <si>
    <t>Country</t>
  </si>
  <si>
    <t>Service Line</t>
  </si>
  <si>
    <t>Cost Rate</t>
  </si>
  <si>
    <t>% of Total Hours</t>
  </si>
  <si>
    <t>Week -1</t>
  </si>
  <si>
    <t>Week 0</t>
  </si>
  <si>
    <t>Week 1</t>
  </si>
  <si>
    <t>Week 2</t>
  </si>
  <si>
    <t>Week 3</t>
  </si>
  <si>
    <t>Week 4</t>
  </si>
  <si>
    <t>Week 5</t>
  </si>
  <si>
    <t>Week 6</t>
  </si>
  <si>
    <t>Week 7</t>
  </si>
  <si>
    <t>Week 8</t>
  </si>
  <si>
    <t>Week 10</t>
  </si>
  <si>
    <t>Data &amp; Analytics</t>
  </si>
  <si>
    <t>Week 9</t>
  </si>
  <si>
    <t>This model provides normative distribution of work between the core team and GDS. Working with GDS provides access to global competencies as well as the benefits of improved consistency and operating efficiencies. In many parts of GDS, they perform aspects of our process every day, so they can be more experienced than regional people. 
The project team should adhere to the normative extent of GDS involvement or use more GDS services than the model prescribes. However, there can be limitations of GDS usage that will require team to reduce GDS involvement. If this is the case, please consider using your regional SDC (Service Delivery Center) instead of GDS, if it is available in your country. If neither GDS, nor SDC can be leveraged, continue using this normative number of hours, just select the option "Show hours and FTE cost if GDS is NOT involved" on the "Project Plan" worksheet. 
Valid reasons for replacing GDS with SDC or the core team include:
- Working language of the engagement, deliverables and/or client documents is not English or one of the laguages supported by the GDS Consulting Language COE (consider SDC)
- There are regulatory or security restrictions that make it impossible to provide access to client documents to off-shore teams (consider SDC)
- The nature of work requires physical presence at client locations (core project team)</t>
  </si>
  <si>
    <t>GDS Consulting Language COE:
- Language COE is a pool of resources with a combination of language and domain skill sets, to be leveraged for projects in WEM, MED, GSA, LATAM and Japanese markets
- It’s a fungible team of resources at GDS who have technical domain knowledge and multilingual capability. It is intended to enable regions to provide more effective service delivery while engaging GDS
- Languages supported: French, German, Spanish, Italian, Japanese, Portuguese, Swedish
- Delivery centers located in Poland, India and Philippines</t>
  </si>
  <si>
    <t>Q&amp;RM and Project Management hours should approximate 10% of total engagement hours.</t>
  </si>
  <si>
    <t>The primary objectives of this model is to:
1. Provide normative hours and resource mix for your engagement
2. Help you plan resources for your engagement and compare your plan to normative hours.
All financial information, such as FTE cost and Total Engagement Revenue, is provided as a preliminary estimate. The precise engagement economics should be calculated in Mercury.
This model does not prescribe a specific margin. Target margin is an input to this model that you provide based on your area's thresholds.</t>
  </si>
  <si>
    <t xml:space="preserve">Build team is covered as part of the engagegment separately. It should not be done as part of the Project Management to avoid repetition of tasks. </t>
  </si>
  <si>
    <t>If the currency of your project is other than US dollar, treat the "$" in this model as your local currency. Input cost rates in your local currency.</t>
  </si>
  <si>
    <t xml:space="preserve">This worksheet outlines assumptions and considerations used in the model. Click the "Back to Activities in scope" button to return to the "Activities in scope" worksheet. Please keep in mind that the Resource and Cost Model is meant to be used as a best practice guide and a starting point for you to consider different factors that impact your resource mix. If using the indicative cost calculation, it is recommended to update the sample cost rates with Mercury specific rates for your resources. To obtain accurate cost, the output from this model should be fed into the costing and pricing tools recommended in Global Engagement Management - GEM. </t>
  </si>
  <si>
    <t xml:space="preserve">Please keep in mind that the Resource and Cost Model is meant to be used as a best practice guide and a starting point for you to consider different factors that impact your resource mix. If using the indicative cost calculation, it is recommended to update the sample cost rates with Mercury specific rates for your resources. To obtain accurate cost, the output from this model should be fed into the costing and pricing tools recommended in Global Engagement Management - GEM.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</si>
</sst>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 #,##0.0_);_(* \(#,##0.0\);_(* &quot;-&quot;?_);_(@_)"/>
    <numFmt numFmtId="166" formatCode="_(&quot;$&quot;* #,##0_);_(&quot;$&quot;* \(#,##0\);_(&quot;$&quot;* &quot;-&quot;??_);_(@_)"/>
    <numFmt numFmtId="167"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i/>
      <sz val="11"/>
      <name val="Calibri"/>
      <family val="2"/>
      <scheme val="minor"/>
    </font>
    <font>
      <sz val="11"/>
      <name val="Calibri"/>
      <family val="2"/>
      <scheme val="minor"/>
    </font>
    <font>
      <b/>
      <i/>
      <sz val="11"/>
      <color theme="1"/>
      <name val="Calibri"/>
      <family val="2"/>
      <scheme val="minor"/>
    </font>
    <font>
      <i/>
      <sz val="11"/>
      <color theme="1"/>
      <name val="Calibri"/>
      <family val="2"/>
      <scheme val="minor"/>
    </font>
    <font>
      <b/>
      <sz val="14"/>
      <color theme="1"/>
      <name val="Calibri"/>
      <family val="2"/>
      <scheme val="minor"/>
    </font>
    <font>
      <b/>
      <sz val="11"/>
      <name val="Calibri"/>
      <family val="2"/>
      <scheme val="minor"/>
    </font>
    <font>
      <sz val="11"/>
      <color theme="0" tint="-0.249977111117893"/>
      <name val="Calibri"/>
      <family val="2"/>
      <scheme val="minor"/>
    </font>
    <font>
      <i/>
      <sz val="11"/>
      <color theme="0"/>
      <name val="Calibri"/>
      <family val="2"/>
      <scheme val="minor"/>
    </font>
    <font>
      <sz val="8"/>
      <name val="Calibri"/>
      <family val="2"/>
      <scheme val="minor"/>
    </font>
    <font>
      <b/>
      <sz val="9"/>
      <color theme="1"/>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E600"/>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499984740745262"/>
        <bgColor indexed="64"/>
      </patternFill>
    </fill>
    <fill>
      <patternFill patternType="solid">
        <fgColor theme="9" tint="0.59999389629810485"/>
        <bgColor indexed="64"/>
      </patternFill>
    </fill>
  </fills>
  <borders count="157">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medium">
        <color auto="1"/>
      </left>
      <right style="thin">
        <color theme="0" tint="-0.24994659260841701"/>
      </right>
      <top style="medium">
        <color auto="1"/>
      </top>
      <bottom style="thin">
        <color theme="0" tint="-0.24994659260841701"/>
      </bottom>
      <diagonal/>
    </border>
    <border>
      <left style="thin">
        <color theme="0" tint="-0.24994659260841701"/>
      </left>
      <right style="thin">
        <color theme="0" tint="-0.24994659260841701"/>
      </right>
      <top style="medium">
        <color auto="1"/>
      </top>
      <bottom style="thin">
        <color theme="0" tint="-0.24994659260841701"/>
      </bottom>
      <diagonal/>
    </border>
    <border>
      <left style="thin">
        <color theme="0" tint="-0.24994659260841701"/>
      </left>
      <right style="medium">
        <color auto="1"/>
      </right>
      <top style="medium">
        <color auto="1"/>
      </top>
      <bottom style="thin">
        <color theme="0" tint="-0.24994659260841701"/>
      </bottom>
      <diagonal/>
    </border>
    <border>
      <left/>
      <right style="thin">
        <color theme="0"/>
      </right>
      <top style="thin">
        <color theme="0"/>
      </top>
      <bottom style="thin">
        <color theme="0"/>
      </bottom>
      <diagonal/>
    </border>
    <border>
      <left style="medium">
        <color auto="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medium">
        <color auto="1"/>
      </left>
      <right/>
      <top style="thin">
        <color theme="0" tint="-0.24994659260841701"/>
      </top>
      <bottom style="thin">
        <color theme="0" tint="-0.24994659260841701"/>
      </bottom>
      <diagonal/>
    </border>
    <border>
      <left/>
      <right/>
      <top style="thin">
        <color auto="1"/>
      </top>
      <bottom style="thin">
        <color auto="1"/>
      </bottom>
      <diagonal/>
    </border>
    <border>
      <left/>
      <right style="medium">
        <color auto="1"/>
      </right>
      <top style="thin">
        <color theme="0" tint="-0.24994659260841701"/>
      </top>
      <bottom style="thin">
        <color theme="0" tint="-0.24994659260841701"/>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rgb="FFFFE600"/>
      </right>
      <top style="thin">
        <color auto="1"/>
      </top>
      <bottom style="thin">
        <color auto="1"/>
      </bottom>
      <diagonal/>
    </border>
    <border>
      <left/>
      <right style="thin">
        <color rgb="FFFFE600"/>
      </right>
      <top style="thin">
        <color auto="1"/>
      </top>
      <bottom style="thin">
        <color auto="1"/>
      </bottom>
      <diagonal/>
    </border>
    <border>
      <left style="thin">
        <color rgb="FFFFE600"/>
      </left>
      <right style="thin">
        <color rgb="FFFFE600"/>
      </right>
      <top style="thin">
        <color auto="1"/>
      </top>
      <bottom style="thin">
        <color auto="1"/>
      </bottom>
      <diagonal/>
    </border>
    <border>
      <left style="thin">
        <color rgb="FFFFE600"/>
      </left>
      <right/>
      <top style="thin">
        <color auto="1"/>
      </top>
      <bottom style="thin">
        <color auto="1"/>
      </bottom>
      <diagonal/>
    </border>
    <border>
      <left style="thin">
        <color auto="1"/>
      </left>
      <right style="thin">
        <color auto="1"/>
      </right>
      <top style="thin">
        <color theme="0" tint="-0.24994659260841701"/>
      </top>
      <bottom style="thin">
        <color theme="0" tint="-0.24994659260841701"/>
      </bottom>
      <diagonal/>
    </border>
    <border>
      <left style="thin">
        <color rgb="FFFFE600"/>
      </left>
      <right style="thin">
        <color auto="1"/>
      </right>
      <top style="thin">
        <color auto="1"/>
      </top>
      <bottom style="thin">
        <color auto="1"/>
      </bottom>
      <diagonal/>
    </border>
    <border>
      <left style="thin">
        <color auto="1"/>
      </left>
      <right style="thin">
        <color theme="0"/>
      </right>
      <top style="thin">
        <color auto="1"/>
      </top>
      <bottom style="thin">
        <color theme="0"/>
      </bottom>
      <diagonal/>
    </border>
    <border>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top style="thin">
        <color auto="1"/>
      </top>
      <bottom style="thin">
        <color theme="0"/>
      </bottom>
      <diagonal/>
    </border>
    <border>
      <left/>
      <right/>
      <top style="thin">
        <color auto="1"/>
      </top>
      <bottom style="thin">
        <color theme="0"/>
      </bottom>
      <diagonal/>
    </border>
    <border>
      <left style="thin">
        <color theme="0"/>
      </left>
      <right/>
      <top style="thin">
        <color auto="1"/>
      </top>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right/>
      <top style="thin">
        <color theme="0"/>
      </top>
      <bottom/>
      <diagonal/>
    </border>
    <border>
      <left style="thin">
        <color theme="0"/>
      </left>
      <right/>
      <top style="thin">
        <color theme="0"/>
      </top>
      <bottom/>
      <diagonal/>
    </border>
    <border>
      <left/>
      <right style="thin">
        <color theme="0"/>
      </right>
      <top style="thin">
        <color theme="0"/>
      </top>
      <bottom/>
      <diagonal/>
    </border>
    <border>
      <left/>
      <right/>
      <top style="thin">
        <color theme="0"/>
      </top>
      <bottom style="thin">
        <color theme="0"/>
      </bottom>
      <diagonal/>
    </border>
    <border>
      <left/>
      <right style="thin">
        <color auto="1"/>
      </right>
      <top style="thin">
        <color theme="0"/>
      </top>
      <bottom style="thin">
        <color theme="0"/>
      </bottom>
      <diagonal/>
    </border>
    <border>
      <left/>
      <right/>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bottom/>
      <diagonal/>
    </border>
    <border>
      <left style="thin">
        <color theme="0"/>
      </left>
      <right style="thin">
        <color auto="1"/>
      </right>
      <top style="thin">
        <color theme="0"/>
      </top>
      <bottom style="thin">
        <color theme="0"/>
      </bottom>
      <diagonal/>
    </border>
    <border>
      <left style="thin">
        <color auto="1"/>
      </left>
      <right/>
      <top style="thin">
        <color theme="0"/>
      </top>
      <bottom style="thin">
        <color theme="0"/>
      </bottom>
      <diagonal/>
    </border>
    <border>
      <left style="thin">
        <color theme="0"/>
      </left>
      <right style="thin">
        <color auto="1"/>
      </right>
      <top/>
      <bottom/>
      <diagonal/>
    </border>
    <border>
      <left/>
      <right style="thin">
        <color auto="1"/>
      </right>
      <top/>
      <bottom style="thin">
        <color theme="0"/>
      </bottom>
      <diagonal/>
    </border>
    <border>
      <left style="thin">
        <color theme="0"/>
      </left>
      <right style="thin">
        <color theme="0"/>
      </right>
      <top/>
      <bottom/>
      <diagonal/>
    </border>
    <border>
      <left/>
      <right style="thin">
        <color theme="0"/>
      </right>
      <top/>
      <bottom/>
      <diagonal/>
    </border>
    <border>
      <left style="thin">
        <color theme="0"/>
      </left>
      <right/>
      <top/>
      <bottom style="thin">
        <color auto="1"/>
      </bottom>
      <diagonal/>
    </border>
    <border>
      <left style="thin">
        <color theme="0"/>
      </left>
      <right style="thin">
        <color indexed="64"/>
      </right>
      <top/>
      <bottom style="thin">
        <color indexed="64"/>
      </bottom>
      <diagonal/>
    </border>
    <border>
      <left style="thin">
        <color auto="1"/>
      </left>
      <right style="thin">
        <color theme="0"/>
      </right>
      <top style="thin">
        <color theme="0"/>
      </top>
      <bottom style="thin">
        <color auto="1"/>
      </bottom>
      <diagonal/>
    </border>
    <border>
      <left/>
      <right style="thin">
        <color theme="0"/>
      </right>
      <top/>
      <bottom style="thin">
        <color auto="1"/>
      </bottom>
      <diagonal/>
    </border>
    <border>
      <left style="thin">
        <color theme="0"/>
      </left>
      <right style="thin">
        <color theme="0"/>
      </right>
      <top/>
      <bottom style="thin">
        <color auto="1"/>
      </bottom>
      <diagonal/>
    </border>
    <border>
      <left style="thin">
        <color theme="0"/>
      </left>
      <right/>
      <top style="thin">
        <color theme="0"/>
      </top>
      <bottom style="thin">
        <color auto="1"/>
      </bottom>
      <diagonal/>
    </border>
    <border>
      <left/>
      <right/>
      <top style="thin">
        <color theme="0"/>
      </top>
      <bottom style="thin">
        <color auto="1"/>
      </bottom>
      <diagonal/>
    </border>
    <border>
      <left style="thin">
        <color theme="0"/>
      </left>
      <right style="thin">
        <color auto="1"/>
      </right>
      <top style="thin">
        <color theme="0"/>
      </top>
      <bottom style="thin">
        <color auto="1"/>
      </bottom>
      <diagonal/>
    </border>
    <border>
      <left style="medium">
        <color auto="1"/>
      </left>
      <right/>
      <top style="thin">
        <color theme="0" tint="-0.24994659260841701"/>
      </top>
      <bottom/>
      <diagonal/>
    </border>
    <border>
      <left/>
      <right/>
      <top style="thin">
        <color theme="0" tint="-0.24994659260841701"/>
      </top>
      <bottom/>
      <diagonal/>
    </border>
    <border>
      <left/>
      <right style="medium">
        <color auto="1"/>
      </right>
      <top style="thin">
        <color theme="0" tint="-0.24994659260841701"/>
      </top>
      <bottom/>
      <diagonal/>
    </border>
    <border>
      <left style="medium">
        <color auto="1"/>
      </left>
      <right style="thin">
        <color theme="0" tint="-0.24994659260841701"/>
      </right>
      <top style="thin">
        <color theme="0" tint="-0.24994659260841701"/>
      </top>
      <bottom style="medium">
        <color auto="1"/>
      </bottom>
      <diagonal/>
    </border>
    <border>
      <left style="thin">
        <color theme="0" tint="-0.24994659260841701"/>
      </left>
      <right style="thin">
        <color theme="0" tint="-0.24994659260841701"/>
      </right>
      <top/>
      <bottom style="medium">
        <color auto="1"/>
      </bottom>
      <diagonal/>
    </border>
    <border>
      <left style="thin">
        <color theme="0" tint="-0.24994659260841701"/>
      </left>
      <right style="thin">
        <color theme="0" tint="-0.24994659260841701"/>
      </right>
      <top style="thin">
        <color theme="0" tint="-0.24994659260841701"/>
      </top>
      <bottom style="medium">
        <color auto="1"/>
      </bottom>
      <diagonal/>
    </border>
    <border>
      <left style="thin">
        <color theme="0" tint="-0.24994659260841701"/>
      </left>
      <right style="medium">
        <color auto="1"/>
      </right>
      <top style="thin">
        <color theme="0" tint="-0.24994659260841701"/>
      </top>
      <bottom style="medium">
        <color auto="1"/>
      </bottom>
      <diagonal/>
    </border>
    <border>
      <left style="thin">
        <color theme="0"/>
      </left>
      <right style="thin">
        <color theme="0"/>
      </right>
      <top/>
      <bottom style="thin">
        <color theme="0"/>
      </bottom>
      <diagonal/>
    </border>
    <border>
      <left style="medium">
        <color auto="1"/>
      </left>
      <right style="medium">
        <color theme="0" tint="-0.24994659260841701"/>
      </right>
      <top style="medium">
        <color auto="1"/>
      </top>
      <bottom style="medium">
        <color theme="0" tint="-0.24994659260841701"/>
      </bottom>
      <diagonal/>
    </border>
    <border>
      <left style="medium">
        <color theme="0" tint="-0.24994659260841701"/>
      </left>
      <right style="medium">
        <color theme="0" tint="-0.24994659260841701"/>
      </right>
      <top style="medium">
        <color auto="1"/>
      </top>
      <bottom/>
      <diagonal/>
    </border>
    <border>
      <left style="medium">
        <color theme="0" tint="-0.24994659260841701"/>
      </left>
      <right style="medium">
        <color auto="1"/>
      </right>
      <top style="medium">
        <color auto="1"/>
      </top>
      <bottom style="medium">
        <color theme="0" tint="-0.24994659260841701"/>
      </bottom>
      <diagonal/>
    </border>
    <border>
      <left style="medium">
        <color auto="1"/>
      </left>
      <right/>
      <top/>
      <bottom style="medium">
        <color theme="0" tint="-0.24994659260841701"/>
      </bottom>
      <diagonal/>
    </border>
    <border>
      <left/>
      <right style="medium">
        <color auto="1"/>
      </right>
      <top/>
      <bottom style="medium">
        <color theme="0" tint="-0.24994659260841701"/>
      </bottom>
      <diagonal/>
    </border>
    <border>
      <left style="medium">
        <color auto="1"/>
      </left>
      <right/>
      <top style="medium">
        <color theme="0" tint="-0.24994659260841701"/>
      </top>
      <bottom style="medium">
        <color theme="0" tint="-0.24994659260841701"/>
      </bottom>
      <diagonal/>
    </border>
    <border>
      <left/>
      <right style="medium">
        <color auto="1"/>
      </right>
      <top style="medium">
        <color theme="0" tint="-0.24994659260841701"/>
      </top>
      <bottom style="medium">
        <color theme="0" tint="-0.24994659260841701"/>
      </bottom>
      <diagonal/>
    </border>
    <border>
      <left style="medium">
        <color auto="1"/>
      </left>
      <right/>
      <top style="medium">
        <color theme="0" tint="-0.24994659260841701"/>
      </top>
      <bottom/>
      <diagonal/>
    </border>
    <border>
      <left style="thin">
        <color auto="1"/>
      </left>
      <right style="thin">
        <color theme="0"/>
      </right>
      <top style="thin">
        <color theme="0"/>
      </top>
      <bottom/>
      <diagonal/>
    </border>
    <border>
      <left style="thin">
        <color theme="0"/>
      </left>
      <right style="thin">
        <color auto="1"/>
      </right>
      <top style="thin">
        <color theme="0"/>
      </top>
      <bottom/>
      <diagonal/>
    </border>
    <border>
      <left/>
      <right style="medium">
        <color auto="1"/>
      </right>
      <top style="medium">
        <color theme="0" tint="-0.24994659260841701"/>
      </top>
      <bottom/>
      <diagonal/>
    </border>
    <border>
      <left style="thin">
        <color theme="0"/>
      </left>
      <right style="thin">
        <color theme="0"/>
      </right>
      <top style="thin">
        <color theme="0"/>
      </top>
      <bottom style="thin">
        <color auto="1"/>
      </bottom>
      <diagonal/>
    </border>
    <border>
      <left style="medium">
        <color auto="1"/>
      </left>
      <right style="thin">
        <color theme="0" tint="-0.24994659260841701"/>
      </right>
      <top/>
      <bottom style="thin">
        <color theme="0" tint="-0.24994659260841701"/>
      </bottom>
      <diagonal/>
    </border>
    <border>
      <left style="thin">
        <color theme="0" tint="-0.24994659260841701"/>
      </left>
      <right/>
      <top style="thin">
        <color auto="1"/>
      </top>
      <bottom/>
      <diagonal/>
    </border>
    <border>
      <left/>
      <right style="thin">
        <color theme="0" tint="-0.24994659260841701"/>
      </right>
      <top style="thin">
        <color auto="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medium">
        <color auto="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diagonal/>
    </border>
    <border>
      <left/>
      <right style="thin">
        <color theme="0" tint="-0.24994659260841701"/>
      </right>
      <top style="thin">
        <color theme="0" tint="-0.24994659260841701"/>
      </top>
      <bottom/>
      <diagonal/>
    </border>
    <border>
      <left/>
      <right style="thin">
        <color theme="0" tint="-0.24994659260841701"/>
      </right>
      <top/>
      <bottom style="medium">
        <color auto="1"/>
      </bottom>
      <diagonal/>
    </border>
    <border>
      <left style="thin">
        <color theme="0" tint="-0.24994659260841701"/>
      </left>
      <right style="thin">
        <color theme="0" tint="-0.24994659260841701"/>
      </right>
      <top style="thin">
        <color auto="1"/>
      </top>
      <bottom style="medium">
        <color auto="1"/>
      </bottom>
      <diagonal/>
    </border>
    <border>
      <left/>
      <right/>
      <top/>
      <bottom style="medium">
        <color theme="0" tint="-0.24994659260841701"/>
      </bottom>
      <diagonal/>
    </border>
    <border>
      <left style="medium">
        <color theme="0" tint="-0.24994659260841701"/>
      </left>
      <right style="medium">
        <color auto="1"/>
      </right>
      <top/>
      <bottom style="medium">
        <color theme="0" tint="-0.24994659260841701"/>
      </bottom>
      <diagonal/>
    </border>
    <border>
      <left/>
      <right/>
      <top style="medium">
        <color theme="0" tint="-0.24994659260841701"/>
      </top>
      <bottom style="medium">
        <color theme="0" tint="-0.24994659260841701"/>
      </bottom>
      <diagonal/>
    </border>
    <border>
      <left style="thin">
        <color indexed="64"/>
      </left>
      <right style="thin">
        <color theme="0"/>
      </right>
      <top style="thin">
        <color indexed="64"/>
      </top>
      <bottom style="thin">
        <color indexed="64"/>
      </bottom>
      <diagonal/>
    </border>
    <border>
      <left style="thin">
        <color theme="0"/>
      </left>
      <right/>
      <top style="thin">
        <color auto="1"/>
      </top>
      <bottom style="thin">
        <color auto="1"/>
      </bottom>
      <diagonal/>
    </border>
    <border>
      <left style="thin">
        <color theme="0"/>
      </left>
      <right style="thin">
        <color auto="1"/>
      </right>
      <top style="thin">
        <color auto="1"/>
      </top>
      <bottom style="thin">
        <color auto="1"/>
      </bottom>
      <diagonal/>
    </border>
    <border>
      <left style="thin">
        <color auto="1"/>
      </left>
      <right style="medium">
        <color theme="0"/>
      </right>
      <top style="thin">
        <color auto="1"/>
      </top>
      <bottom style="medium">
        <color theme="0"/>
      </bottom>
      <diagonal/>
    </border>
    <border>
      <left style="medium">
        <color theme="0"/>
      </left>
      <right style="medium">
        <color theme="0"/>
      </right>
      <top style="thin">
        <color auto="1"/>
      </top>
      <bottom/>
      <diagonal/>
    </border>
    <border>
      <left style="medium">
        <color theme="0"/>
      </left>
      <right style="thin">
        <color auto="1"/>
      </right>
      <top style="thin">
        <color auto="1"/>
      </top>
      <bottom style="medium">
        <color theme="0"/>
      </bottom>
      <diagonal/>
    </border>
    <border>
      <left style="thin">
        <color auto="1"/>
      </left>
      <right style="thin">
        <color theme="0"/>
      </right>
      <top/>
      <bottom style="thin">
        <color theme="0"/>
      </bottom>
      <diagonal/>
    </border>
    <border>
      <left style="thin">
        <color theme="0"/>
      </left>
      <right style="thin">
        <color auto="1"/>
      </right>
      <top/>
      <bottom style="thin">
        <color theme="0"/>
      </bottom>
      <diagonal/>
    </border>
    <border>
      <left style="thin">
        <color auto="1"/>
      </left>
      <right/>
      <top/>
      <bottom style="medium">
        <color theme="0"/>
      </bottom>
      <diagonal/>
    </border>
    <border>
      <left/>
      <right style="thin">
        <color auto="1"/>
      </right>
      <top/>
      <bottom style="medium">
        <color theme="0"/>
      </bottom>
      <diagonal/>
    </border>
    <border>
      <left style="thin">
        <color auto="1"/>
      </left>
      <right/>
      <top style="medium">
        <color theme="0"/>
      </top>
      <bottom style="medium">
        <color theme="0"/>
      </bottom>
      <diagonal/>
    </border>
    <border>
      <left/>
      <right style="thin">
        <color auto="1"/>
      </right>
      <top style="medium">
        <color theme="0"/>
      </top>
      <bottom style="medium">
        <color theme="0"/>
      </bottom>
      <diagonal/>
    </border>
    <border>
      <left style="thin">
        <color auto="1"/>
      </left>
      <right style="medium">
        <color theme="0"/>
      </right>
      <top style="medium">
        <color theme="0"/>
      </top>
      <bottom style="thin">
        <color auto="1"/>
      </bottom>
      <diagonal/>
    </border>
    <border>
      <left style="medium">
        <color theme="0"/>
      </left>
      <right style="medium">
        <color theme="0"/>
      </right>
      <top/>
      <bottom style="thin">
        <color auto="1"/>
      </bottom>
      <diagonal/>
    </border>
    <border>
      <left style="medium">
        <color theme="0"/>
      </left>
      <right style="thin">
        <color auto="1"/>
      </right>
      <top style="medium">
        <color theme="0"/>
      </top>
      <bottom style="thin">
        <color auto="1"/>
      </bottom>
      <diagonal/>
    </border>
    <border>
      <left style="medium">
        <color auto="1"/>
      </left>
      <right style="medium">
        <color theme="0" tint="-0.24994659260841701"/>
      </right>
      <top style="medium">
        <color theme="0" tint="-0.24994659260841701"/>
      </top>
      <bottom style="medium">
        <color auto="1"/>
      </bottom>
      <diagonal/>
    </border>
    <border>
      <left style="medium">
        <color theme="0" tint="-0.24994659260841701"/>
      </left>
      <right style="medium">
        <color theme="0" tint="-0.24994659260841701"/>
      </right>
      <top/>
      <bottom style="medium">
        <color auto="1"/>
      </bottom>
      <diagonal/>
    </border>
    <border>
      <left style="medium">
        <color theme="0" tint="-0.24994659260841701"/>
      </left>
      <right style="medium">
        <color theme="0" tint="-0.24994659260841701"/>
      </right>
      <top style="medium">
        <color theme="0" tint="-0.24994659260841701"/>
      </top>
      <bottom style="medium">
        <color auto="1"/>
      </bottom>
      <diagonal/>
    </border>
    <border>
      <left style="medium">
        <color theme="0" tint="-0.24994659260841701"/>
      </left>
      <right style="medium">
        <color auto="1"/>
      </right>
      <top style="medium">
        <color theme="0" tint="-0.24994659260841701"/>
      </top>
      <bottom style="medium">
        <color auto="1"/>
      </bottom>
      <diagonal/>
    </border>
    <border>
      <left style="thin">
        <color theme="0" tint="-0.24994659260841701"/>
      </left>
      <right style="thin">
        <color theme="0" tint="-0.24994659260841701"/>
      </right>
      <top style="medium">
        <color auto="1"/>
      </top>
      <bottom/>
      <diagonal/>
    </border>
    <border>
      <left style="thin">
        <color theme="0"/>
      </left>
      <right style="thin">
        <color theme="0"/>
      </right>
      <top style="thin">
        <color auto="1"/>
      </top>
      <bottom/>
      <diagonal/>
    </border>
    <border>
      <left style="thin">
        <color auto="1"/>
      </left>
      <right/>
      <top/>
      <bottom style="thin">
        <color theme="0"/>
      </bottom>
      <diagonal/>
    </border>
    <border>
      <left style="thin">
        <color auto="1"/>
      </left>
      <right style="thin">
        <color auto="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auto="1"/>
      </left>
      <right style="thin">
        <color rgb="FFFFE600"/>
      </right>
      <top style="thin">
        <color auto="1"/>
      </top>
      <bottom/>
      <diagonal/>
    </border>
    <border>
      <left style="thin">
        <color rgb="FFFFE600"/>
      </left>
      <right style="thin">
        <color rgb="FFFFE600"/>
      </right>
      <top style="thin">
        <color auto="1"/>
      </top>
      <bottom/>
      <diagonal/>
    </border>
    <border>
      <left style="thin">
        <color rgb="FFFFE600"/>
      </left>
      <right/>
      <top style="thin">
        <color auto="1"/>
      </top>
      <bottom/>
      <diagonal/>
    </border>
    <border>
      <left style="thin">
        <color rgb="FFFFE600"/>
      </left>
      <right style="thin">
        <color auto="1"/>
      </right>
      <top style="thin">
        <color auto="1"/>
      </top>
      <bottom/>
      <diagonal/>
    </border>
    <border>
      <left style="thin">
        <color theme="0" tint="-0.24994659260841701"/>
      </left>
      <right style="medium">
        <color indexed="64"/>
      </right>
      <top style="thin">
        <color theme="0" tint="-0.24994659260841701"/>
      </top>
      <bottom/>
      <diagonal/>
    </border>
    <border>
      <left style="thin">
        <color theme="0" tint="-0.2499465926084170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theme="0" tint="-0.24994659260841701"/>
      </left>
      <right style="thin">
        <color auto="1"/>
      </right>
      <top style="thin">
        <color theme="0" tint="-0.24994659260841701"/>
      </top>
      <bottom style="thin">
        <color auto="1"/>
      </bottom>
      <diagonal/>
    </border>
    <border>
      <left style="medium">
        <color theme="0" tint="-0.24994659260841701"/>
      </left>
      <right style="medium">
        <color theme="0" tint="-0.24994659260841701"/>
      </right>
      <top style="medium">
        <color auto="1"/>
      </top>
      <bottom style="medium">
        <color theme="0" tint="-0.24994659260841701"/>
      </bottom>
      <diagonal/>
    </border>
    <border>
      <left style="medium">
        <color auto="1"/>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theme="0" tint="-0.24994659260841701"/>
      </right>
      <top style="medium">
        <color theme="0" tint="-0.24994659260841701"/>
      </top>
      <bottom/>
      <diagonal/>
    </border>
    <border>
      <left style="medium">
        <color theme="0" tint="-0.24994659260841701"/>
      </left>
      <right style="medium">
        <color auto="1"/>
      </right>
      <top style="medium">
        <color theme="0" tint="-0.24994659260841701"/>
      </top>
      <bottom style="medium">
        <color theme="0" tint="-0.24994659260841701"/>
      </bottom>
      <diagonal/>
    </border>
    <border>
      <left/>
      <right style="medium">
        <color theme="0"/>
      </right>
      <top style="thin">
        <color auto="1"/>
      </top>
      <bottom/>
      <diagonal/>
    </border>
    <border>
      <left style="thin">
        <color auto="1"/>
      </left>
      <right/>
      <top style="medium">
        <color theme="0"/>
      </top>
      <bottom/>
      <diagonal/>
    </border>
    <border>
      <left/>
      <right style="thin">
        <color auto="1"/>
      </right>
      <top style="medium">
        <color theme="0"/>
      </top>
      <bottom/>
      <diagonal/>
    </border>
    <border>
      <left/>
      <right style="medium">
        <color theme="0"/>
      </right>
      <top/>
      <bottom style="thin">
        <color auto="1"/>
      </bottom>
      <diagonal/>
    </border>
    <border>
      <left/>
      <right style="thin">
        <color theme="0"/>
      </right>
      <top style="thin">
        <color theme="0"/>
      </top>
      <bottom style="thin">
        <color auto="1"/>
      </bottom>
      <diagonal/>
    </border>
    <border>
      <left style="thin">
        <color theme="0" tint="-0.24994659260841701"/>
      </left>
      <right/>
      <top/>
      <bottom/>
      <diagonal/>
    </border>
    <border>
      <left/>
      <right style="thin">
        <color theme="0" tint="-0.24994659260841701"/>
      </right>
      <top/>
      <bottom/>
      <diagonal/>
    </border>
    <border>
      <left style="thin">
        <color indexed="64"/>
      </left>
      <right/>
      <top style="thin">
        <color theme="0"/>
      </top>
      <bottom/>
      <diagonal/>
    </border>
    <border>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463">
    <xf numFmtId="0" fontId="0" fillId="0" borderId="0" xfId="0"/>
    <xf numFmtId="0" fontId="0" fillId="2" borderId="0" xfId="0" applyFill="1"/>
    <xf numFmtId="0" fontId="0" fillId="3" borderId="1" xfId="0" applyFill="1" applyBorder="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xf numFmtId="0" fontId="4" fillId="4" borderId="8" xfId="0" applyFont="1" applyFill="1" applyBorder="1"/>
    <xf numFmtId="0" fontId="0" fillId="2" borderId="9" xfId="0" applyFill="1" applyBorder="1" applyAlignment="1">
      <alignment horizontal="left" vertical="top" wrapText="1"/>
    </xf>
    <xf numFmtId="0" fontId="0" fillId="2" borderId="10" xfId="0" applyFill="1" applyBorder="1" applyAlignment="1">
      <alignment horizontal="left" vertical="top" wrapText="1"/>
    </xf>
    <xf numFmtId="0" fontId="0" fillId="2" borderId="8" xfId="0" applyFill="1" applyBorder="1" applyAlignment="1">
      <alignment horizontal="left" vertical="top"/>
    </xf>
    <xf numFmtId="0" fontId="0" fillId="2" borderId="8" xfId="0" applyFill="1" applyBorder="1" applyAlignment="1">
      <alignment horizontal="left" vertical="top" wrapText="1"/>
    </xf>
    <xf numFmtId="0" fontId="0" fillId="3" borderId="11" xfId="0" applyFill="1" applyBorder="1"/>
    <xf numFmtId="0" fontId="0" fillId="3" borderId="12" xfId="0" applyFill="1" applyBorder="1"/>
    <xf numFmtId="0" fontId="0" fillId="3" borderId="13" xfId="0" applyFill="1" applyBorder="1"/>
    <xf numFmtId="0" fontId="0" fillId="2" borderId="14" xfId="0" applyFill="1" applyBorder="1"/>
    <xf numFmtId="0" fontId="0" fillId="2" borderId="15" xfId="0" applyFill="1" applyBorder="1"/>
    <xf numFmtId="0" fontId="0" fillId="2" borderId="15" xfId="0" applyFill="1" applyBorder="1" applyAlignment="1">
      <alignment wrapText="1"/>
    </xf>
    <xf numFmtId="0" fontId="0" fillId="2" borderId="16" xfId="0" applyFill="1" applyBorder="1"/>
    <xf numFmtId="0" fontId="0" fillId="3" borderId="17" xfId="0" applyFill="1" applyBorder="1"/>
    <xf numFmtId="0" fontId="0" fillId="3" borderId="18" xfId="0" applyFill="1" applyBorder="1"/>
    <xf numFmtId="0" fontId="0" fillId="3" borderId="18" xfId="0" applyFill="1" applyBorder="1" applyAlignment="1">
      <alignment wrapText="1"/>
    </xf>
    <xf numFmtId="0" fontId="0" fillId="3" borderId="19" xfId="0" applyFill="1" applyBorder="1"/>
    <xf numFmtId="0" fontId="0" fillId="2" borderId="20" xfId="0" applyFill="1" applyBorder="1"/>
    <xf numFmtId="0" fontId="0" fillId="3" borderId="21" xfId="0" applyFill="1" applyBorder="1"/>
    <xf numFmtId="0" fontId="0" fillId="3" borderId="25" xfId="0" applyFill="1" applyBorder="1"/>
    <xf numFmtId="0" fontId="0" fillId="3" borderId="26" xfId="0" applyFill="1" applyBorder="1"/>
    <xf numFmtId="0" fontId="0" fillId="3" borderId="26" xfId="0" applyFill="1" applyBorder="1" applyAlignment="1">
      <alignment wrapText="1"/>
    </xf>
    <xf numFmtId="0" fontId="0" fillId="3" borderId="27" xfId="0" applyFill="1" applyBorder="1"/>
    <xf numFmtId="0" fontId="4" fillId="4" borderId="6" xfId="0" applyFont="1" applyFill="1" applyBorder="1" applyAlignment="1">
      <alignment horizontal="left" indent="1"/>
    </xf>
    <xf numFmtId="0" fontId="0" fillId="4" borderId="28" xfId="0" applyFill="1" applyBorder="1"/>
    <xf numFmtId="0" fontId="0" fillId="4" borderId="28" xfId="0" applyFill="1" applyBorder="1" applyAlignment="1">
      <alignment wrapText="1"/>
    </xf>
    <xf numFmtId="0" fontId="0" fillId="4" borderId="7" xfId="0" applyFill="1" applyBorder="1"/>
    <xf numFmtId="0" fontId="0" fillId="3" borderId="29" xfId="0" applyFill="1" applyBorder="1"/>
    <xf numFmtId="0" fontId="0" fillId="2" borderId="31" xfId="0" applyFill="1" applyBorder="1" applyAlignment="1">
      <alignment vertical="top" wrapText="1"/>
    </xf>
    <xf numFmtId="0" fontId="0" fillId="2" borderId="32" xfId="0" applyFill="1" applyBorder="1" applyAlignment="1">
      <alignment vertical="top" wrapText="1"/>
    </xf>
    <xf numFmtId="0" fontId="0" fillId="2" borderId="0" xfId="0" applyFill="1" applyAlignment="1">
      <alignment vertical="top" wrapText="1"/>
    </xf>
    <xf numFmtId="0" fontId="0" fillId="2" borderId="34" xfId="0" applyFill="1" applyBorder="1" applyAlignment="1">
      <alignment vertical="top" wrapText="1"/>
    </xf>
    <xf numFmtId="0" fontId="0" fillId="2" borderId="36" xfId="0" applyFill="1" applyBorder="1" applyAlignment="1">
      <alignment vertical="top" wrapText="1"/>
    </xf>
    <xf numFmtId="0" fontId="0" fillId="2" borderId="37" xfId="0" applyFill="1" applyBorder="1" applyAlignment="1">
      <alignment vertical="top" wrapText="1"/>
    </xf>
    <xf numFmtId="0" fontId="0" fillId="3" borderId="0" xfId="0" applyFill="1" applyAlignment="1">
      <alignment wrapText="1"/>
    </xf>
    <xf numFmtId="0" fontId="4" fillId="4" borderId="38" xfId="0" applyFont="1" applyFill="1" applyBorder="1"/>
    <xf numFmtId="0" fontId="0" fillId="4" borderId="39" xfId="0" applyFill="1" applyBorder="1"/>
    <xf numFmtId="0" fontId="0" fillId="4" borderId="40" xfId="0" applyFill="1" applyBorder="1"/>
    <xf numFmtId="0" fontId="0" fillId="4" borderId="41" xfId="0" applyFill="1" applyBorder="1"/>
    <xf numFmtId="0" fontId="0" fillId="3" borderId="42" xfId="0" applyFill="1" applyBorder="1"/>
    <xf numFmtId="0" fontId="4" fillId="4" borderId="28" xfId="0" applyFont="1" applyFill="1" applyBorder="1"/>
    <xf numFmtId="0" fontId="0" fillId="4" borderId="41" xfId="0" applyFill="1" applyBorder="1" applyAlignment="1">
      <alignment wrapText="1"/>
    </xf>
    <xf numFmtId="0" fontId="0" fillId="4" borderId="43" xfId="0" applyFill="1" applyBorder="1"/>
    <xf numFmtId="0" fontId="0" fillId="2" borderId="44" xfId="0" applyFill="1" applyBorder="1"/>
    <xf numFmtId="0" fontId="0" fillId="2" borderId="45" xfId="0" applyFill="1" applyBorder="1"/>
    <xf numFmtId="0" fontId="0" fillId="2" borderId="46" xfId="0" applyFill="1" applyBorder="1"/>
    <xf numFmtId="0" fontId="0" fillId="2" borderId="47" xfId="0" applyFill="1" applyBorder="1"/>
    <xf numFmtId="0" fontId="0" fillId="2" borderId="48" xfId="0" applyFill="1" applyBorder="1"/>
    <xf numFmtId="0" fontId="0" fillId="2" borderId="49" xfId="0" applyFill="1" applyBorder="1" applyAlignment="1">
      <alignment wrapText="1"/>
    </xf>
    <xf numFmtId="0" fontId="0" fillId="2" borderId="50" xfId="0" applyFill="1" applyBorder="1"/>
    <xf numFmtId="0" fontId="0" fillId="2" borderId="51" xfId="0" applyFill="1" applyBorder="1"/>
    <xf numFmtId="0" fontId="0" fillId="2" borderId="52" xfId="0" applyFill="1" applyBorder="1" applyAlignment="1">
      <alignment horizontal="center" vertical="center" wrapText="1"/>
    </xf>
    <xf numFmtId="0" fontId="0" fillId="2" borderId="55" xfId="0" applyFill="1" applyBorder="1"/>
    <xf numFmtId="0" fontId="0" fillId="2" borderId="56" xfId="0" applyFill="1" applyBorder="1"/>
    <xf numFmtId="0" fontId="0" fillId="2" borderId="57" xfId="0" applyFill="1" applyBorder="1" applyAlignment="1">
      <alignment horizontal="center" vertical="center" wrapText="1"/>
    </xf>
    <xf numFmtId="0" fontId="0" fillId="2" borderId="0" xfId="0" applyFill="1" applyAlignment="1">
      <alignment horizontal="center" vertical="center" wrapText="1"/>
    </xf>
    <xf numFmtId="0" fontId="0" fillId="2" borderId="53" xfId="0" applyFill="1" applyBorder="1"/>
    <xf numFmtId="0" fontId="0" fillId="2" borderId="52" xfId="0" applyFill="1" applyBorder="1"/>
    <xf numFmtId="0" fontId="0" fillId="2" borderId="54" xfId="0" applyFill="1" applyBorder="1"/>
    <xf numFmtId="0" fontId="0" fillId="2" borderId="60" xfId="0" applyFill="1" applyBorder="1" applyAlignment="1">
      <alignment wrapText="1"/>
    </xf>
    <xf numFmtId="0" fontId="0" fillId="2" borderId="61" xfId="0" applyFill="1" applyBorder="1"/>
    <xf numFmtId="0" fontId="0" fillId="2" borderId="62" xfId="0" applyFill="1" applyBorder="1"/>
    <xf numFmtId="0" fontId="0" fillId="2" borderId="34" xfId="0" applyFill="1" applyBorder="1"/>
    <xf numFmtId="0" fontId="0" fillId="2" borderId="33" xfId="0" applyFill="1" applyBorder="1" applyAlignment="1">
      <alignment horizontal="left" vertical="top" wrapText="1"/>
    </xf>
    <xf numFmtId="0" fontId="7" fillId="2" borderId="0" xfId="0" applyFont="1" applyFill="1" applyAlignment="1">
      <alignment vertical="top" wrapText="1"/>
    </xf>
    <xf numFmtId="0" fontId="8" fillId="2" borderId="60" xfId="0" applyFont="1" applyFill="1" applyBorder="1" applyAlignment="1">
      <alignment vertical="center" wrapText="1"/>
    </xf>
    <xf numFmtId="0" fontId="8" fillId="2" borderId="63" xfId="0" applyFont="1" applyFill="1" applyBorder="1" applyAlignment="1">
      <alignment vertical="center" wrapText="1"/>
    </xf>
    <xf numFmtId="0" fontId="0" fillId="2" borderId="57" xfId="0" applyFill="1" applyBorder="1"/>
    <xf numFmtId="0" fontId="0" fillId="2" borderId="64" xfId="0" applyFill="1" applyBorder="1"/>
    <xf numFmtId="0" fontId="0" fillId="2" borderId="0" xfId="0" applyFill="1" applyAlignment="1">
      <alignment horizontal="left" vertical="top" wrapText="1"/>
    </xf>
    <xf numFmtId="0" fontId="7" fillId="2" borderId="0" xfId="0" applyFont="1" applyFill="1" applyAlignment="1">
      <alignment horizontal="left" vertical="top" wrapText="1"/>
    </xf>
    <xf numFmtId="0" fontId="4" fillId="4" borderId="8" xfId="0" applyFont="1" applyFill="1" applyBorder="1" applyAlignment="1">
      <alignment vertical="center" wrapText="1"/>
    </xf>
    <xf numFmtId="164" fontId="0" fillId="5" borderId="8" xfId="1" applyNumberFormat="1" applyFont="1" applyFill="1" applyBorder="1" applyAlignment="1" applyProtection="1">
      <alignment vertical="center" wrapText="1"/>
      <protection locked="0"/>
    </xf>
    <xf numFmtId="0" fontId="0" fillId="2" borderId="33" xfId="0" applyFill="1" applyBorder="1" applyAlignment="1">
      <alignment horizontal="left" vertical="top"/>
    </xf>
    <xf numFmtId="0" fontId="0" fillId="2" borderId="45" xfId="0" applyFill="1" applyBorder="1" applyAlignment="1">
      <alignment wrapText="1"/>
    </xf>
    <xf numFmtId="0" fontId="0" fillId="2" borderId="46" xfId="0" applyFill="1" applyBorder="1" applyAlignment="1">
      <alignment wrapText="1"/>
    </xf>
    <xf numFmtId="0" fontId="0" fillId="2" borderId="33" xfId="0" applyFill="1" applyBorder="1" applyAlignment="1">
      <alignment horizontal="left" vertical="center" wrapText="1"/>
    </xf>
    <xf numFmtId="0" fontId="9" fillId="2" borderId="14" xfId="0" applyFont="1" applyFill="1" applyBorder="1" applyAlignment="1">
      <alignment wrapText="1"/>
    </xf>
    <xf numFmtId="0" fontId="10" fillId="2" borderId="65" xfId="0" applyFont="1" applyFill="1" applyBorder="1" applyAlignment="1">
      <alignment wrapText="1"/>
    </xf>
    <xf numFmtId="0" fontId="0" fillId="2" borderId="33" xfId="0" applyFill="1" applyBorder="1" applyAlignment="1">
      <alignment horizontal="left" vertical="center"/>
    </xf>
    <xf numFmtId="0" fontId="4" fillId="0" borderId="0" xfId="0" applyFont="1"/>
    <xf numFmtId="0" fontId="0" fillId="2" borderId="33" xfId="0" applyFill="1" applyBorder="1" applyAlignment="1">
      <alignment vertical="center" wrapText="1"/>
    </xf>
    <xf numFmtId="0" fontId="4" fillId="0" borderId="0" xfId="0" applyFont="1" applyAlignment="1">
      <alignment horizontal="left"/>
    </xf>
    <xf numFmtId="0" fontId="4" fillId="0" borderId="0" xfId="0" applyFont="1" applyAlignment="1">
      <alignment horizontal="center"/>
    </xf>
    <xf numFmtId="0" fontId="0" fillId="2" borderId="33" xfId="0" applyFill="1" applyBorder="1" applyAlignment="1">
      <alignment vertical="center"/>
    </xf>
    <xf numFmtId="0" fontId="0" fillId="2" borderId="33" xfId="0" applyFill="1" applyBorder="1" applyAlignment="1">
      <alignment vertical="top"/>
    </xf>
    <xf numFmtId="0" fontId="11" fillId="0" borderId="0" xfId="0" applyFont="1" applyAlignment="1">
      <alignment vertical="center" wrapText="1"/>
    </xf>
    <xf numFmtId="0" fontId="11" fillId="0" borderId="0" xfId="0" applyFont="1" applyAlignment="1">
      <alignment horizontal="left" vertical="center" wrapText="1"/>
    </xf>
    <xf numFmtId="0" fontId="0" fillId="2" borderId="66" xfId="0" applyFill="1" applyBorder="1" applyAlignment="1">
      <alignment wrapText="1"/>
    </xf>
    <xf numFmtId="0" fontId="0" fillId="2" borderId="65" xfId="0" applyFill="1" applyBorder="1" applyAlignment="1">
      <alignment wrapText="1"/>
    </xf>
    <xf numFmtId="0" fontId="0" fillId="0" borderId="0" xfId="0" applyAlignment="1">
      <alignment vertical="top" wrapText="1"/>
    </xf>
    <xf numFmtId="43" fontId="0" fillId="2" borderId="65" xfId="0" applyNumberFormat="1" applyFill="1" applyBorder="1" applyAlignment="1">
      <alignment wrapText="1"/>
    </xf>
    <xf numFmtId="0" fontId="0" fillId="0" borderId="33" xfId="0" applyBorder="1" applyAlignment="1">
      <alignment vertical="top" wrapText="1"/>
    </xf>
    <xf numFmtId="164" fontId="0" fillId="2" borderId="65" xfId="0" applyNumberFormat="1" applyFill="1" applyBorder="1" applyAlignment="1">
      <alignment wrapText="1"/>
    </xf>
    <xf numFmtId="0" fontId="0" fillId="2" borderId="54" xfId="0" applyFill="1" applyBorder="1" applyAlignment="1">
      <alignment wrapText="1"/>
    </xf>
    <xf numFmtId="43" fontId="0" fillId="2" borderId="15" xfId="0" applyNumberFormat="1" applyFill="1" applyBorder="1" applyAlignment="1">
      <alignment wrapText="1"/>
    </xf>
    <xf numFmtId="0" fontId="0" fillId="2" borderId="0" xfId="0" applyFill="1" applyAlignment="1">
      <alignment wrapText="1"/>
    </xf>
    <xf numFmtId="0" fontId="0" fillId="0" borderId="35" xfId="0" applyBorder="1" applyAlignment="1">
      <alignment vertical="top" wrapText="1"/>
    </xf>
    <xf numFmtId="0" fontId="0" fillId="0" borderId="36" xfId="0" applyBorder="1" applyAlignment="1">
      <alignment vertical="center" wrapText="1"/>
    </xf>
    <xf numFmtId="0" fontId="0" fillId="0" borderId="36" xfId="0" applyBorder="1" applyAlignment="1">
      <alignment horizontal="left" vertical="center" wrapText="1"/>
    </xf>
    <xf numFmtId="0" fontId="4" fillId="0" borderId="36" xfId="0" applyFont="1" applyBorder="1" applyAlignment="1">
      <alignment horizontal="center" vertical="center" wrapText="1"/>
    </xf>
    <xf numFmtId="0" fontId="8" fillId="2" borderId="67" xfId="0" applyFont="1" applyFill="1" applyBorder="1" applyAlignment="1">
      <alignment vertical="center" wrapText="1"/>
    </xf>
    <xf numFmtId="0" fontId="8" fillId="2" borderId="68" xfId="0" applyFont="1" applyFill="1" applyBorder="1" applyAlignment="1">
      <alignment vertical="center" wrapText="1"/>
    </xf>
    <xf numFmtId="0" fontId="0" fillId="2" borderId="58" xfId="0" applyFill="1" applyBorder="1" applyAlignment="1">
      <alignment wrapText="1"/>
    </xf>
    <xf numFmtId="0" fontId="0" fillId="2" borderId="69" xfId="0" applyFill="1" applyBorder="1"/>
    <xf numFmtId="0" fontId="0" fillId="2" borderId="70" xfId="0" applyFill="1" applyBorder="1"/>
    <xf numFmtId="0" fontId="0" fillId="2" borderId="71" xfId="0" applyFill="1" applyBorder="1"/>
    <xf numFmtId="0" fontId="0" fillId="2" borderId="67" xfId="0" applyFill="1" applyBorder="1"/>
    <xf numFmtId="0" fontId="0" fillId="2" borderId="72" xfId="0" applyFill="1" applyBorder="1"/>
    <xf numFmtId="0" fontId="0" fillId="2" borderId="73" xfId="0" applyFill="1" applyBorder="1"/>
    <xf numFmtId="0" fontId="0" fillId="2" borderId="72" xfId="0" applyFill="1" applyBorder="1" applyAlignment="1">
      <alignment wrapText="1"/>
    </xf>
    <xf numFmtId="0" fontId="0" fillId="2" borderId="74" xfId="0" applyFill="1" applyBorder="1"/>
    <xf numFmtId="0" fontId="0" fillId="3" borderId="75" xfId="0" applyFill="1" applyBorder="1"/>
    <xf numFmtId="0" fontId="0" fillId="3" borderId="76" xfId="0" applyFill="1" applyBorder="1"/>
    <xf numFmtId="0" fontId="0" fillId="3" borderId="77" xfId="0" applyFill="1" applyBorder="1"/>
    <xf numFmtId="0" fontId="0" fillId="3" borderId="78" xfId="0" applyFill="1" applyBorder="1"/>
    <xf numFmtId="0" fontId="0" fillId="3" borderId="79" xfId="0" applyFill="1" applyBorder="1"/>
    <xf numFmtId="0" fontId="0" fillId="3" borderId="80" xfId="0" applyFill="1" applyBorder="1"/>
    <xf numFmtId="0" fontId="0" fillId="3" borderId="79" xfId="0" applyFill="1" applyBorder="1" applyAlignment="1">
      <alignment wrapText="1"/>
    </xf>
    <xf numFmtId="0" fontId="0" fillId="3" borderId="81" xfId="0" applyFill="1" applyBorder="1"/>
    <xf numFmtId="0" fontId="0" fillId="2" borderId="82" xfId="0" applyFill="1" applyBorder="1"/>
    <xf numFmtId="0" fontId="0" fillId="2" borderId="82" xfId="0" applyFill="1" applyBorder="1" applyAlignment="1">
      <alignment wrapText="1"/>
    </xf>
    <xf numFmtId="0" fontId="0" fillId="2" borderId="14" xfId="0" applyFill="1" applyBorder="1" applyAlignment="1">
      <alignment wrapText="1"/>
    </xf>
    <xf numFmtId="0" fontId="0" fillId="0" borderId="14" xfId="0" applyBorder="1"/>
    <xf numFmtId="0" fontId="0" fillId="0" borderId="15" xfId="0" applyBorder="1"/>
    <xf numFmtId="0" fontId="0" fillId="0" borderId="16" xfId="0" applyBorder="1"/>
    <xf numFmtId="0" fontId="4" fillId="3" borderId="83" xfId="0" applyFont="1" applyFill="1" applyBorder="1"/>
    <xf numFmtId="0" fontId="0" fillId="3" borderId="84" xfId="0" applyFill="1" applyBorder="1"/>
    <xf numFmtId="0" fontId="0" fillId="3" borderId="85" xfId="0" applyFill="1" applyBorder="1"/>
    <xf numFmtId="0" fontId="0" fillId="0" borderId="20" xfId="0" applyBorder="1"/>
    <xf numFmtId="0" fontId="4" fillId="3" borderId="86" xfId="0" applyFont="1" applyFill="1" applyBorder="1"/>
    <xf numFmtId="0" fontId="4" fillId="4" borderId="38" xfId="0" applyFont="1" applyFill="1" applyBorder="1" applyAlignment="1">
      <alignment horizontal="left" indent="1"/>
    </xf>
    <xf numFmtId="0" fontId="0" fillId="3" borderId="87" xfId="0" applyFill="1" applyBorder="1"/>
    <xf numFmtId="0" fontId="0" fillId="2" borderId="44" xfId="0" applyFill="1" applyBorder="1" applyAlignment="1">
      <alignment horizontal="left" vertical="top" indent="1"/>
    </xf>
    <xf numFmtId="0" fontId="4" fillId="3" borderId="88" xfId="0" applyFont="1" applyFill="1" applyBorder="1"/>
    <xf numFmtId="0" fontId="0" fillId="2" borderId="51" xfId="0" applyFill="1" applyBorder="1" applyAlignment="1">
      <alignment horizontal="left" vertical="top" indent="1"/>
    </xf>
    <xf numFmtId="0" fontId="0" fillId="3" borderId="89" xfId="0" applyFill="1" applyBorder="1"/>
    <xf numFmtId="0" fontId="4" fillId="3" borderId="90" xfId="0" applyFont="1" applyFill="1" applyBorder="1"/>
    <xf numFmtId="0" fontId="0" fillId="2" borderId="91" xfId="0" applyFill="1" applyBorder="1" applyAlignment="1">
      <alignment horizontal="left" vertical="top" indent="1"/>
    </xf>
    <xf numFmtId="0" fontId="0" fillId="2" borderId="92" xfId="0" applyFill="1" applyBorder="1"/>
    <xf numFmtId="0" fontId="0" fillId="3" borderId="93" xfId="0" applyFill="1" applyBorder="1"/>
    <xf numFmtId="0" fontId="0" fillId="3" borderId="90" xfId="0" applyFill="1" applyBorder="1"/>
    <xf numFmtId="0" fontId="0" fillId="2" borderId="69" xfId="0" applyFill="1" applyBorder="1" applyAlignment="1">
      <alignment horizontal="left" vertical="top" indent="1"/>
    </xf>
    <xf numFmtId="0" fontId="0" fillId="2" borderId="94" xfId="0" applyFill="1" applyBorder="1"/>
    <xf numFmtId="0" fontId="0" fillId="3" borderId="95" xfId="0" applyFill="1" applyBorder="1"/>
    <xf numFmtId="0" fontId="0" fillId="3" borderId="98" xfId="0" applyFill="1" applyBorder="1"/>
    <xf numFmtId="0" fontId="0" fillId="3" borderId="99" xfId="0" applyFill="1" applyBorder="1"/>
    <xf numFmtId="0" fontId="0" fillId="3" borderId="102" xfId="0" applyFill="1" applyBorder="1"/>
    <xf numFmtId="165" fontId="0" fillId="3" borderId="102" xfId="0" applyNumberFormat="1" applyFill="1" applyBorder="1"/>
    <xf numFmtId="0" fontId="3" fillId="3" borderId="102" xfId="0" applyFont="1" applyFill="1" applyBorder="1"/>
    <xf numFmtId="0" fontId="0" fillId="3" borderId="103" xfId="0" applyFill="1" applyBorder="1"/>
    <xf numFmtId="43" fontId="0" fillId="3" borderId="26" xfId="0" applyNumberFormat="1" applyFill="1" applyBorder="1"/>
    <xf numFmtId="0" fontId="0" fillId="2" borderId="1" xfId="0" applyFill="1" applyBorder="1"/>
    <xf numFmtId="0" fontId="0" fillId="2" borderId="2" xfId="0" applyFill="1" applyBorder="1"/>
    <xf numFmtId="0" fontId="0" fillId="2" borderId="4" xfId="0" applyFill="1" applyBorder="1"/>
    <xf numFmtId="0" fontId="0" fillId="2" borderId="33" xfId="0" applyFill="1" applyBorder="1"/>
    <xf numFmtId="0" fontId="4" fillId="4" borderId="6" xfId="0" applyFont="1" applyFill="1" applyBorder="1" applyAlignment="1">
      <alignment horizontal="center" vertical="center" wrapText="1"/>
    </xf>
    <xf numFmtId="0" fontId="4" fillId="4" borderId="7" xfId="0" applyFont="1" applyFill="1" applyBorder="1" applyAlignment="1">
      <alignment horizontal="center" vertical="center" wrapText="1"/>
    </xf>
    <xf numFmtId="0" fontId="4" fillId="4" borderId="8" xfId="0" applyFont="1" applyFill="1" applyBorder="1" applyAlignment="1">
      <alignment horizontal="center" vertical="center" wrapText="1"/>
    </xf>
    <xf numFmtId="0" fontId="0" fillId="7" borderId="30" xfId="0" applyFill="1" applyBorder="1"/>
    <xf numFmtId="0" fontId="0" fillId="7" borderId="31" xfId="0" applyFill="1" applyBorder="1"/>
    <xf numFmtId="166" fontId="0" fillId="7" borderId="31" xfId="2" applyNumberFormat="1" applyFont="1" applyFill="1" applyBorder="1"/>
    <xf numFmtId="0" fontId="0" fillId="3" borderId="33" xfId="0" applyFill="1" applyBorder="1"/>
    <xf numFmtId="166" fontId="0" fillId="3" borderId="0" xfId="2" applyNumberFormat="1" applyFont="1" applyFill="1" applyBorder="1"/>
    <xf numFmtId="164" fontId="0" fillId="3" borderId="0" xfId="1" applyNumberFormat="1" applyFont="1" applyFill="1" applyBorder="1"/>
    <xf numFmtId="0" fontId="13" fillId="3" borderId="75" xfId="0" applyFont="1" applyFill="1" applyBorder="1"/>
    <xf numFmtId="0" fontId="0" fillId="3" borderId="35" xfId="0" applyFill="1" applyBorder="1"/>
    <xf numFmtId="0" fontId="0" fillId="3" borderId="36" xfId="0" applyFill="1" applyBorder="1"/>
    <xf numFmtId="166" fontId="0" fillId="3" borderId="36" xfId="2" applyNumberFormat="1" applyFont="1" applyFill="1" applyBorder="1"/>
    <xf numFmtId="164" fontId="0" fillId="3" borderId="36" xfId="1" applyNumberFormat="1" applyFont="1" applyFill="1" applyBorder="1"/>
    <xf numFmtId="0" fontId="0" fillId="0" borderId="33" xfId="0" applyBorder="1"/>
    <xf numFmtId="166" fontId="0" fillId="2" borderId="0" xfId="2" applyNumberFormat="1" applyFont="1" applyFill="1" applyBorder="1"/>
    <xf numFmtId="164" fontId="0" fillId="2" borderId="0" xfId="1" applyNumberFormat="1" applyFont="1" applyFill="1" applyBorder="1"/>
    <xf numFmtId="0" fontId="0" fillId="7" borderId="6" xfId="0" applyFill="1" applyBorder="1"/>
    <xf numFmtId="0" fontId="0" fillId="7" borderId="28" xfId="0" applyFill="1" applyBorder="1"/>
    <xf numFmtId="166" fontId="0" fillId="7" borderId="6" xfId="2" applyNumberFormat="1" applyFont="1" applyFill="1" applyBorder="1"/>
    <xf numFmtId="164" fontId="0" fillId="7" borderId="7" xfId="1" applyNumberFormat="1" applyFont="1" applyFill="1" applyBorder="1"/>
    <xf numFmtId="164" fontId="0" fillId="7" borderId="28" xfId="1" applyNumberFormat="1" applyFont="1" applyFill="1" applyBorder="1"/>
    <xf numFmtId="0" fontId="4" fillId="2" borderId="0" xfId="0" applyFont="1" applyFill="1"/>
    <xf numFmtId="166" fontId="0" fillId="2" borderId="33" xfId="2" applyNumberFormat="1" applyFont="1" applyFill="1" applyBorder="1"/>
    <xf numFmtId="166" fontId="4" fillId="2" borderId="33" xfId="2" applyNumberFormat="1" applyFont="1" applyFill="1" applyBorder="1"/>
    <xf numFmtId="164" fontId="4" fillId="2" borderId="0" xfId="0" applyNumberFormat="1" applyFont="1" applyFill="1"/>
    <xf numFmtId="43" fontId="0" fillId="2" borderId="0" xfId="1" applyFont="1" applyFill="1" applyBorder="1"/>
    <xf numFmtId="0" fontId="0" fillId="2" borderId="35" xfId="0" applyFill="1" applyBorder="1"/>
    <xf numFmtId="0" fontId="0" fillId="2" borderId="36" xfId="0" applyFill="1" applyBorder="1"/>
    <xf numFmtId="0" fontId="0" fillId="2" borderId="37" xfId="0" applyFill="1" applyBorder="1"/>
    <xf numFmtId="0" fontId="0" fillId="3" borderId="104" xfId="0" applyFill="1" applyBorder="1"/>
    <xf numFmtId="0" fontId="0" fillId="3" borderId="105" xfId="0" applyFill="1" applyBorder="1"/>
    <xf numFmtId="0" fontId="0" fillId="0" borderId="82" xfId="0" applyBorder="1"/>
    <xf numFmtId="0" fontId="0" fillId="3" borderId="83" xfId="0" applyFill="1" applyBorder="1"/>
    <xf numFmtId="0" fontId="0" fillId="3" borderId="86" xfId="0" applyFill="1" applyBorder="1"/>
    <xf numFmtId="0" fontId="0" fillId="3" borderId="106" xfId="0" applyFill="1" applyBorder="1"/>
    <xf numFmtId="0" fontId="0" fillId="3" borderId="107" xfId="0" applyFill="1" applyBorder="1"/>
    <xf numFmtId="0" fontId="0" fillId="3" borderId="88" xfId="0" applyFill="1" applyBorder="1"/>
    <xf numFmtId="0" fontId="0" fillId="3" borderId="108" xfId="0" applyFill="1" applyBorder="1"/>
    <xf numFmtId="0" fontId="0" fillId="2" borderId="112" xfId="0" applyFill="1" applyBorder="1"/>
    <xf numFmtId="0" fontId="0" fillId="2" borderId="113" xfId="0" applyFill="1" applyBorder="1"/>
    <xf numFmtId="0" fontId="0" fillId="2" borderId="114" xfId="0" applyFill="1" applyBorder="1"/>
    <xf numFmtId="0" fontId="0" fillId="2" borderId="115" xfId="0" applyFill="1" applyBorder="1"/>
    <xf numFmtId="0" fontId="0" fillId="2" borderId="58" xfId="0" applyFill="1" applyBorder="1"/>
    <xf numFmtId="0" fontId="0" fillId="2" borderId="116" xfId="0" applyFill="1" applyBorder="1"/>
    <xf numFmtId="0" fontId="0" fillId="2" borderId="117" xfId="0" applyFill="1" applyBorder="1"/>
    <xf numFmtId="0" fontId="0" fillId="2" borderId="118" xfId="0" applyFill="1" applyBorder="1"/>
    <xf numFmtId="0" fontId="0" fillId="3" borderId="88" xfId="0" applyFill="1" applyBorder="1" applyAlignment="1">
      <alignment horizontal="center" wrapText="1"/>
    </xf>
    <xf numFmtId="0" fontId="0" fillId="2" borderId="119" xfId="0" applyFill="1" applyBorder="1" applyAlignment="1">
      <alignment horizontal="center" wrapText="1"/>
    </xf>
    <xf numFmtId="0" fontId="0" fillId="2" borderId="120" xfId="0" applyFill="1" applyBorder="1" applyAlignment="1">
      <alignment horizontal="center" wrapText="1"/>
    </xf>
    <xf numFmtId="0" fontId="0" fillId="3" borderId="108" xfId="0" applyFill="1" applyBorder="1" applyAlignment="1">
      <alignment horizontal="center" wrapText="1"/>
    </xf>
    <xf numFmtId="0" fontId="0" fillId="2" borderId="62" xfId="0" applyFill="1" applyBorder="1" applyAlignment="1">
      <alignment horizontal="center" wrapText="1"/>
    </xf>
    <xf numFmtId="0" fontId="4" fillId="2" borderId="34" xfId="0" applyFont="1" applyFill="1" applyBorder="1" applyAlignment="1">
      <alignment horizontal="center" vertical="center" wrapText="1"/>
    </xf>
    <xf numFmtId="0" fontId="0" fillId="2" borderId="56" xfId="0" applyFill="1" applyBorder="1" applyAlignment="1">
      <alignment horizontal="center" wrapText="1"/>
    </xf>
    <xf numFmtId="0" fontId="0" fillId="3" borderId="89" xfId="0" applyFill="1" applyBorder="1" applyAlignment="1">
      <alignment horizontal="center" wrapText="1"/>
    </xf>
    <xf numFmtId="0" fontId="0" fillId="2" borderId="0" xfId="0" applyFill="1" applyAlignment="1">
      <alignment horizontal="center" wrapText="1"/>
    </xf>
    <xf numFmtId="0" fontId="0" fillId="2" borderId="119" xfId="0" applyFill="1" applyBorder="1"/>
    <xf numFmtId="0" fontId="0" fillId="5" borderId="8" xfId="0" applyFill="1" applyBorder="1" applyProtection="1">
      <protection locked="0"/>
    </xf>
    <xf numFmtId="0" fontId="0" fillId="6" borderId="8" xfId="0" applyFill="1" applyBorder="1"/>
    <xf numFmtId="166" fontId="0" fillId="5" borderId="8" xfId="2" applyNumberFormat="1" applyFont="1" applyFill="1" applyBorder="1" applyProtection="1">
      <protection locked="0"/>
    </xf>
    <xf numFmtId="0" fontId="0" fillId="2" borderId="120" xfId="0" applyFill="1" applyBorder="1"/>
    <xf numFmtId="0" fontId="0" fillId="2" borderId="121" xfId="0" applyFill="1" applyBorder="1"/>
    <xf numFmtId="0" fontId="0" fillId="2" borderId="122" xfId="0" applyFill="1" applyBorder="1"/>
    <xf numFmtId="0" fontId="0" fillId="2" borderId="123" xfId="0" applyFill="1" applyBorder="1"/>
    <xf numFmtId="0" fontId="0" fillId="3" borderId="124" xfId="0" applyFill="1" applyBorder="1"/>
    <xf numFmtId="0" fontId="0" fillId="3" borderId="125" xfId="0" applyFill="1" applyBorder="1"/>
    <xf numFmtId="0" fontId="0" fillId="3" borderId="126" xfId="0" applyFill="1" applyBorder="1"/>
    <xf numFmtId="0" fontId="0" fillId="3" borderId="127" xfId="0" applyFill="1" applyBorder="1"/>
    <xf numFmtId="0" fontId="0" fillId="3" borderId="128" xfId="0" applyFill="1" applyBorder="1"/>
    <xf numFmtId="0" fontId="4" fillId="4" borderId="38" xfId="0" applyFont="1" applyFill="1" applyBorder="1" applyAlignment="1">
      <alignment horizontal="left" vertical="center" indent="1"/>
    </xf>
    <xf numFmtId="0" fontId="0" fillId="2" borderId="129" xfId="0" applyFill="1" applyBorder="1"/>
    <xf numFmtId="0" fontId="0" fillId="2" borderId="49" xfId="0" applyFill="1" applyBorder="1"/>
    <xf numFmtId="0" fontId="0" fillId="2" borderId="60" xfId="0" applyFill="1" applyBorder="1"/>
    <xf numFmtId="0" fontId="0" fillId="2" borderId="130" xfId="0" applyFill="1" applyBorder="1"/>
    <xf numFmtId="0" fontId="4" fillId="4" borderId="6" xfId="0" applyFont="1" applyFill="1" applyBorder="1"/>
    <xf numFmtId="0" fontId="4" fillId="4" borderId="7" xfId="0" applyFont="1" applyFill="1" applyBorder="1"/>
    <xf numFmtId="0" fontId="2" fillId="8" borderId="10" xfId="0" applyFont="1" applyFill="1" applyBorder="1" applyAlignment="1">
      <alignment horizontal="center" vertical="center" wrapText="1"/>
    </xf>
    <xf numFmtId="0" fontId="2" fillId="8" borderId="10" xfId="0" applyFont="1" applyFill="1" applyBorder="1" applyAlignment="1">
      <alignment horizontal="left" vertical="center"/>
    </xf>
    <xf numFmtId="0" fontId="0" fillId="3" borderId="27" xfId="0" applyFill="1" applyBorder="1" applyAlignment="1">
      <alignment horizontal="center" vertical="center" wrapText="1"/>
    </xf>
    <xf numFmtId="0" fontId="0" fillId="2" borderId="115" xfId="0" applyFill="1" applyBorder="1" applyAlignment="1">
      <alignment horizontal="center" vertical="center" wrapText="1"/>
    </xf>
    <xf numFmtId="0" fontId="2" fillId="8" borderId="8" xfId="0" applyFont="1" applyFill="1" applyBorder="1" applyAlignment="1">
      <alignment horizontal="left" vertical="center" wrapText="1"/>
    </xf>
    <xf numFmtId="164" fontId="1" fillId="6" borderId="8" xfId="1" applyNumberFormat="1" applyFont="1" applyFill="1" applyBorder="1" applyAlignment="1">
      <alignment vertical="center" wrapText="1"/>
    </xf>
    <xf numFmtId="164" fontId="0" fillId="6" borderId="8" xfId="1" applyNumberFormat="1" applyFont="1" applyFill="1" applyBorder="1" applyAlignment="1">
      <alignment vertical="center" wrapText="1"/>
    </xf>
    <xf numFmtId="0" fontId="0" fillId="3" borderId="25" xfId="0" applyFill="1" applyBorder="1" applyAlignment="1">
      <alignment horizontal="center" vertical="center" wrapText="1"/>
    </xf>
    <xf numFmtId="9" fontId="0" fillId="6" borderId="8" xfId="3" applyFont="1" applyFill="1" applyBorder="1" applyAlignment="1">
      <alignment vertical="center" wrapText="1"/>
    </xf>
    <xf numFmtId="9" fontId="0" fillId="6" borderId="8" xfId="0" applyNumberFormat="1" applyFill="1" applyBorder="1" applyAlignment="1">
      <alignment vertical="center" wrapText="1"/>
    </xf>
    <xf numFmtId="164" fontId="0" fillId="5" borderId="8" xfId="1" applyNumberFormat="1" applyFont="1" applyFill="1" applyBorder="1"/>
    <xf numFmtId="0" fontId="0" fillId="5" borderId="8" xfId="1" applyNumberFormat="1" applyFont="1" applyFill="1" applyBorder="1"/>
    <xf numFmtId="0" fontId="2" fillId="8" borderId="8" xfId="0" applyFont="1" applyFill="1" applyBorder="1" applyAlignment="1">
      <alignment vertical="center" wrapText="1"/>
    </xf>
    <xf numFmtId="0" fontId="2" fillId="2" borderId="28" xfId="0" applyFont="1" applyFill="1" applyBorder="1" applyAlignment="1">
      <alignment vertical="center" wrapText="1"/>
    </xf>
    <xf numFmtId="0" fontId="0" fillId="2" borderId="8" xfId="0" applyFill="1" applyBorder="1" applyAlignment="1">
      <alignment vertical="center" wrapText="1"/>
    </xf>
    <xf numFmtId="0" fontId="0" fillId="2" borderId="16" xfId="0" applyFill="1" applyBorder="1" applyAlignment="1">
      <alignment vertical="center" wrapText="1"/>
    </xf>
    <xf numFmtId="0" fontId="0" fillId="2" borderId="0" xfId="0" applyFill="1" applyAlignment="1">
      <alignment vertical="center" wrapText="1"/>
    </xf>
    <xf numFmtId="9" fontId="0" fillId="2" borderId="0" xfId="3" applyFont="1" applyFill="1" applyBorder="1" applyAlignment="1">
      <alignment horizontal="right" vertical="center" wrapText="1"/>
    </xf>
    <xf numFmtId="0" fontId="0" fillId="2" borderId="31" xfId="0" applyFill="1" applyBorder="1" applyAlignment="1">
      <alignment vertical="center" wrapText="1"/>
    </xf>
    <xf numFmtId="0" fontId="0" fillId="2" borderId="32" xfId="0" applyFill="1" applyBorder="1" applyAlignment="1">
      <alignment vertical="center" wrapText="1"/>
    </xf>
    <xf numFmtId="0" fontId="0" fillId="2" borderId="34" xfId="0" applyFill="1" applyBorder="1" applyAlignment="1">
      <alignment vertical="center" wrapText="1"/>
    </xf>
    <xf numFmtId="0" fontId="0" fillId="2" borderId="33" xfId="0" applyFill="1" applyBorder="1" applyAlignment="1">
      <alignment horizontal="left" vertical="center" wrapText="1" indent="1"/>
    </xf>
    <xf numFmtId="0" fontId="4" fillId="2" borderId="131" xfId="0" applyFont="1" applyFill="1" applyBorder="1" applyAlignment="1">
      <alignment vertical="center" wrapText="1"/>
    </xf>
    <xf numFmtId="0" fontId="4" fillId="2" borderId="0" xfId="0" applyFont="1" applyFill="1" applyAlignment="1">
      <alignment vertical="center" wrapText="1"/>
    </xf>
    <xf numFmtId="0" fontId="0" fillId="2" borderId="130" xfId="0" applyFill="1" applyBorder="1" applyAlignment="1">
      <alignment vertical="center" wrapText="1"/>
    </xf>
    <xf numFmtId="0" fontId="2" fillId="8" borderId="8" xfId="0" applyFont="1" applyFill="1" applyBorder="1" applyAlignment="1">
      <alignment horizontal="center" vertical="center" wrapText="1"/>
    </xf>
    <xf numFmtId="9" fontId="0" fillId="5" borderId="6" xfId="3" applyFont="1" applyFill="1" applyBorder="1" applyAlignment="1">
      <alignment vertical="center" wrapText="1"/>
    </xf>
    <xf numFmtId="0" fontId="0" fillId="2" borderId="131" xfId="0" applyFill="1" applyBorder="1"/>
    <xf numFmtId="166" fontId="0" fillId="6" borderId="32" xfId="0" applyNumberFormat="1" applyFill="1" applyBorder="1" applyAlignment="1">
      <alignment vertical="center" wrapText="1"/>
    </xf>
    <xf numFmtId="0" fontId="2" fillId="2" borderId="0" xfId="0" applyFont="1" applyFill="1" applyAlignment="1">
      <alignment horizontal="center" vertical="center" wrapText="1"/>
    </xf>
    <xf numFmtId="0" fontId="2" fillId="2" borderId="0" xfId="0" applyFont="1" applyFill="1" applyAlignment="1">
      <alignment horizontal="left" vertical="center"/>
    </xf>
    <xf numFmtId="0" fontId="0" fillId="2" borderId="64" xfId="0" applyFill="1" applyBorder="1" applyAlignment="1">
      <alignment vertical="center" wrapText="1"/>
    </xf>
    <xf numFmtId="166" fontId="0" fillId="6" borderId="37" xfId="0" applyNumberFormat="1" applyFill="1" applyBorder="1" applyAlignment="1">
      <alignment vertical="center" wrapText="1"/>
    </xf>
    <xf numFmtId="9" fontId="0" fillId="2" borderId="0" xfId="3" applyFont="1" applyFill="1" applyBorder="1" applyAlignment="1">
      <alignment vertical="center" wrapText="1"/>
    </xf>
    <xf numFmtId="9" fontId="0" fillId="2" borderId="0" xfId="0" applyNumberFormat="1" applyFill="1" applyAlignment="1">
      <alignment vertical="center" wrapText="1"/>
    </xf>
    <xf numFmtId="0" fontId="2" fillId="2" borderId="31" xfId="0" applyFont="1" applyFill="1" applyBorder="1" applyAlignment="1">
      <alignment horizontal="center" vertical="center" wrapText="1"/>
    </xf>
    <xf numFmtId="166" fontId="0" fillId="2" borderId="31" xfId="3" applyNumberFormat="1" applyFont="1" applyFill="1" applyBorder="1" applyAlignment="1">
      <alignment vertical="center" wrapText="1"/>
    </xf>
    <xf numFmtId="166" fontId="0" fillId="2" borderId="34" xfId="3" applyNumberFormat="1" applyFont="1" applyFill="1" applyBorder="1" applyAlignment="1">
      <alignment vertical="center" wrapText="1"/>
    </xf>
    <xf numFmtId="166" fontId="4" fillId="6" borderId="7" xfId="0" applyNumberFormat="1" applyFont="1" applyFill="1" applyBorder="1" applyAlignment="1">
      <alignment vertical="center" wrapText="1"/>
    </xf>
    <xf numFmtId="44" fontId="0" fillId="2" borderId="0" xfId="0" applyNumberFormat="1" applyFill="1" applyAlignment="1">
      <alignment vertical="center" wrapText="1"/>
    </xf>
    <xf numFmtId="0" fontId="3" fillId="2" borderId="0" xfId="0" applyFont="1" applyFill="1" applyAlignment="1">
      <alignment vertical="center"/>
    </xf>
    <xf numFmtId="0" fontId="0" fillId="3" borderId="27" xfId="0" applyFill="1" applyBorder="1" applyAlignment="1">
      <alignment horizontal="center" vertical="center"/>
    </xf>
    <xf numFmtId="0" fontId="0" fillId="2" borderId="62" xfId="0" applyFill="1" applyBorder="1" applyAlignment="1">
      <alignment horizontal="center" vertical="center"/>
    </xf>
    <xf numFmtId="0" fontId="5" fillId="8" borderId="8" xfId="0" applyFont="1" applyFill="1" applyBorder="1" applyAlignment="1">
      <alignment horizontal="center" vertical="center" wrapText="1"/>
    </xf>
    <xf numFmtId="0" fontId="0" fillId="2" borderId="61" xfId="0" applyFill="1" applyBorder="1" applyAlignment="1">
      <alignment horizontal="center" vertical="center"/>
    </xf>
    <xf numFmtId="0" fontId="0" fillId="3" borderId="25" xfId="0" applyFill="1" applyBorder="1" applyAlignment="1">
      <alignment horizontal="center" vertical="center"/>
    </xf>
    <xf numFmtId="0" fontId="0" fillId="2" borderId="0" xfId="0" applyFill="1" applyAlignment="1">
      <alignment horizontal="center" vertical="center"/>
    </xf>
    <xf numFmtId="0" fontId="0" fillId="5" borderId="8" xfId="0" applyFill="1" applyBorder="1"/>
    <xf numFmtId="166" fontId="0" fillId="6" borderId="8" xfId="2" applyNumberFormat="1" applyFont="1" applyFill="1" applyBorder="1"/>
    <xf numFmtId="9" fontId="0" fillId="6" borderId="8" xfId="3" applyFont="1" applyFill="1" applyBorder="1"/>
    <xf numFmtId="164" fontId="4" fillId="6" borderId="8" xfId="1" applyNumberFormat="1" applyFont="1" applyFill="1" applyBorder="1"/>
    <xf numFmtId="0" fontId="0" fillId="3" borderId="132" xfId="0" applyFill="1" applyBorder="1"/>
    <xf numFmtId="0" fontId="4" fillId="2" borderId="0" xfId="0" applyFont="1" applyFill="1" applyAlignment="1">
      <alignment vertical="center"/>
    </xf>
    <xf numFmtId="0" fontId="5" fillId="2" borderId="0" xfId="0" applyFont="1" applyFill="1" applyAlignment="1">
      <alignment horizontal="center" vertical="center" wrapText="1"/>
    </xf>
    <xf numFmtId="0" fontId="4" fillId="4" borderId="133" xfId="0" applyFont="1" applyFill="1" applyBorder="1" applyAlignment="1">
      <alignment horizontal="left" vertical="center" indent="1"/>
    </xf>
    <xf numFmtId="0" fontId="0" fillId="4" borderId="134" xfId="0" applyFill="1" applyBorder="1"/>
    <xf numFmtId="0" fontId="0" fillId="4" borderId="135" xfId="0" applyFill="1" applyBorder="1"/>
    <xf numFmtId="0" fontId="0" fillId="4" borderId="136" xfId="0" applyFill="1" applyBorder="1"/>
    <xf numFmtId="0" fontId="0" fillId="3" borderId="137" xfId="0" applyFill="1" applyBorder="1"/>
    <xf numFmtId="0" fontId="0" fillId="3" borderId="138" xfId="0" applyFill="1" applyBorder="1"/>
    <xf numFmtId="0" fontId="0" fillId="3" borderId="139" xfId="0" applyFill="1" applyBorder="1"/>
    <xf numFmtId="0" fontId="0" fillId="3" borderId="139" xfId="0" applyFill="1" applyBorder="1" applyAlignment="1">
      <alignment horizontal="center" vertical="center" wrapText="1"/>
    </xf>
    <xf numFmtId="0" fontId="0" fillId="3" borderId="140" xfId="0" applyFill="1" applyBorder="1"/>
    <xf numFmtId="0" fontId="0" fillId="2" borderId="15" xfId="0" applyFill="1" applyBorder="1" applyAlignment="1">
      <alignment vertical="top"/>
    </xf>
    <xf numFmtId="0" fontId="0" fillId="3" borderId="141" xfId="0" applyFill="1" applyBorder="1"/>
    <xf numFmtId="0" fontId="0" fillId="3" borderId="141" xfId="0" applyFill="1" applyBorder="1" applyAlignment="1">
      <alignment vertical="top"/>
    </xf>
    <xf numFmtId="0" fontId="0" fillId="3" borderId="142" xfId="0" applyFill="1" applyBorder="1"/>
    <xf numFmtId="0" fontId="0" fillId="3" borderId="143" xfId="0" applyFill="1" applyBorder="1"/>
    <xf numFmtId="0" fontId="0" fillId="3" borderId="143" xfId="0" applyFill="1" applyBorder="1" applyAlignment="1">
      <alignment vertical="top"/>
    </xf>
    <xf numFmtId="0" fontId="0" fillId="3" borderId="144" xfId="0" applyFill="1" applyBorder="1"/>
    <xf numFmtId="0" fontId="0" fillId="2" borderId="145" xfId="0" applyFill="1" applyBorder="1" applyAlignment="1">
      <alignment vertical="top"/>
    </xf>
    <xf numFmtId="0" fontId="0" fillId="2" borderId="8" xfId="0" applyFill="1" applyBorder="1" applyAlignment="1">
      <alignment vertical="top"/>
    </xf>
    <xf numFmtId="0" fontId="8" fillId="2" borderId="8" xfId="0" applyFont="1" applyFill="1" applyBorder="1" applyAlignment="1">
      <alignment horizontal="left" vertical="top" wrapText="1"/>
    </xf>
    <xf numFmtId="0" fontId="0" fillId="2" borderId="146" xfId="0" applyFill="1" applyBorder="1"/>
    <xf numFmtId="0" fontId="0" fillId="2" borderId="147" xfId="0" applyFill="1" applyBorder="1"/>
    <xf numFmtId="0" fontId="0" fillId="2" borderId="148" xfId="0" applyFill="1" applyBorder="1" applyAlignment="1">
      <alignment vertical="top"/>
    </xf>
    <xf numFmtId="0" fontId="0" fillId="3" borderId="125" xfId="0" applyFill="1" applyBorder="1" applyAlignment="1">
      <alignment vertical="top"/>
    </xf>
    <xf numFmtId="0" fontId="0" fillId="2" borderId="82" xfId="0" applyFill="1" applyBorder="1" applyAlignment="1">
      <alignment vertical="top"/>
    </xf>
    <xf numFmtId="0" fontId="0" fillId="2" borderId="14" xfId="0" applyFill="1" applyBorder="1" applyAlignment="1">
      <alignment vertical="top"/>
    </xf>
    <xf numFmtId="44" fontId="0" fillId="3" borderId="84" xfId="2" applyFont="1" applyFill="1" applyBorder="1"/>
    <xf numFmtId="0" fontId="0" fillId="2" borderId="149" xfId="0" applyFill="1" applyBorder="1"/>
    <xf numFmtId="164" fontId="0" fillId="2" borderId="36" xfId="1" applyNumberFormat="1" applyFont="1" applyFill="1" applyBorder="1"/>
    <xf numFmtId="0" fontId="0" fillId="2" borderId="28" xfId="0" applyFill="1" applyBorder="1"/>
    <xf numFmtId="0" fontId="0" fillId="2" borderId="33" xfId="2" applyNumberFormat="1" applyFont="1" applyFill="1" applyBorder="1"/>
    <xf numFmtId="0" fontId="0" fillId="7" borderId="31" xfId="2" applyNumberFormat="1" applyFont="1" applyFill="1" applyBorder="1"/>
    <xf numFmtId="0" fontId="0" fillId="7" borderId="32" xfId="2" applyNumberFormat="1" applyFont="1" applyFill="1" applyBorder="1"/>
    <xf numFmtId="0" fontId="0" fillId="3" borderId="0" xfId="1" applyNumberFormat="1" applyFont="1" applyFill="1" applyBorder="1"/>
    <xf numFmtId="0" fontId="0" fillId="3" borderId="34" xfId="1" applyNumberFormat="1" applyFont="1" applyFill="1" applyBorder="1"/>
    <xf numFmtId="0" fontId="0" fillId="3" borderId="36" xfId="1" applyNumberFormat="1" applyFont="1" applyFill="1" applyBorder="1"/>
    <xf numFmtId="0" fontId="0" fillId="2" borderId="0" xfId="1" applyNumberFormat="1" applyFont="1" applyFill="1" applyBorder="1"/>
    <xf numFmtId="0" fontId="0" fillId="2" borderId="28" xfId="1" applyNumberFormat="1" applyFont="1" applyFill="1" applyBorder="1"/>
    <xf numFmtId="0" fontId="0" fillId="3" borderId="37" xfId="1" applyNumberFormat="1" applyFont="1" applyFill="1" applyBorder="1"/>
    <xf numFmtId="0" fontId="0" fillId="7" borderId="31" xfId="2" applyNumberFormat="1" applyFont="1" applyFill="1" applyBorder="1" applyAlignment="1">
      <alignment horizontal="center"/>
    </xf>
    <xf numFmtId="0" fontId="0" fillId="7" borderId="0" xfId="2" applyNumberFormat="1" applyFont="1" applyFill="1" applyBorder="1"/>
    <xf numFmtId="0" fontId="4" fillId="2" borderId="28" xfId="1" applyNumberFormat="1" applyFont="1" applyFill="1" applyBorder="1"/>
    <xf numFmtId="0" fontId="0" fillId="7" borderId="28" xfId="1" applyNumberFormat="1" applyFont="1" applyFill="1" applyBorder="1"/>
    <xf numFmtId="0" fontId="0" fillId="7" borderId="7" xfId="1" applyNumberFormat="1" applyFont="1" applyFill="1" applyBorder="1"/>
    <xf numFmtId="164" fontId="0" fillId="2" borderId="28" xfId="1" applyNumberFormat="1" applyFont="1" applyFill="1" applyBorder="1"/>
    <xf numFmtId="1" fontId="0" fillId="2" borderId="33" xfId="2" applyNumberFormat="1" applyFont="1" applyFill="1" applyBorder="1"/>
    <xf numFmtId="0" fontId="0" fillId="2" borderId="36" xfId="1" applyNumberFormat="1" applyFont="1" applyFill="1" applyBorder="1"/>
    <xf numFmtId="0" fontId="0" fillId="2" borderId="0" xfId="0" applyFill="1" applyAlignment="1">
      <alignment horizontal="left" vertical="center" wrapText="1"/>
    </xf>
    <xf numFmtId="0" fontId="8" fillId="2" borderId="0" xfId="0" applyFont="1" applyFill="1" applyAlignment="1">
      <alignment vertical="center" wrapText="1"/>
    </xf>
    <xf numFmtId="0" fontId="0" fillId="0" borderId="8" xfId="0" applyBorder="1"/>
    <xf numFmtId="9" fontId="0" fillId="6" borderId="7" xfId="3" applyFont="1" applyFill="1" applyBorder="1" applyAlignment="1">
      <alignment horizontal="right" vertical="center" wrapText="1"/>
    </xf>
    <xf numFmtId="167" fontId="4" fillId="6" borderId="7" xfId="1" applyNumberFormat="1" applyFont="1" applyFill="1" applyBorder="1"/>
    <xf numFmtId="0" fontId="4" fillId="4" borderId="6" xfId="0" applyFont="1" applyFill="1" applyBorder="1" applyAlignment="1">
      <alignment vertical="center" wrapText="1"/>
    </xf>
    <xf numFmtId="0" fontId="4" fillId="4" borderId="28" xfId="0" applyFont="1" applyFill="1" applyBorder="1" applyAlignment="1">
      <alignment vertical="center" wrapText="1"/>
    </xf>
    <xf numFmtId="0" fontId="4" fillId="4" borderId="7" xfId="0" applyFont="1" applyFill="1" applyBorder="1" applyAlignment="1">
      <alignment vertical="center" wrapText="1"/>
    </xf>
    <xf numFmtId="0" fontId="16" fillId="4" borderId="6" xfId="0" applyFont="1" applyFill="1" applyBorder="1" applyAlignment="1">
      <alignment vertical="center" wrapText="1"/>
    </xf>
    <xf numFmtId="0" fontId="16" fillId="4" borderId="28" xfId="0" applyFont="1" applyFill="1" applyBorder="1" applyAlignment="1">
      <alignment vertical="center" wrapText="1"/>
    </xf>
    <xf numFmtId="0" fontId="16" fillId="4" borderId="7" xfId="0" applyFont="1" applyFill="1" applyBorder="1" applyAlignment="1">
      <alignment vertical="center" wrapText="1"/>
    </xf>
    <xf numFmtId="0" fontId="6" fillId="3" borderId="0" xfId="0" applyFont="1" applyFill="1" applyAlignment="1">
      <alignment horizontal="center"/>
    </xf>
    <xf numFmtId="0" fontId="0" fillId="3" borderId="0" xfId="0" applyFill="1" applyAlignment="1">
      <alignment horizontal="center"/>
    </xf>
    <xf numFmtId="0" fontId="4" fillId="4" borderId="6" xfId="0" applyFont="1" applyFill="1" applyBorder="1" applyAlignment="1">
      <alignment horizontal="left" indent="1"/>
    </xf>
    <xf numFmtId="0" fontId="4" fillId="4" borderId="7" xfId="0" applyFont="1" applyFill="1" applyBorder="1" applyAlignment="1">
      <alignment horizontal="left" indent="1"/>
    </xf>
    <xf numFmtId="0" fontId="0" fillId="2" borderId="6" xfId="0" applyFill="1" applyBorder="1" applyAlignment="1">
      <alignment horizontal="left" vertical="top" wrapText="1" indent="1"/>
    </xf>
    <xf numFmtId="0" fontId="0" fillId="2" borderId="7" xfId="0" applyFill="1" applyBorder="1" applyAlignment="1">
      <alignment horizontal="left" vertical="top" indent="1"/>
    </xf>
    <xf numFmtId="0" fontId="0" fillId="2" borderId="9" xfId="0" applyFill="1" applyBorder="1" applyAlignment="1">
      <alignment horizontal="left" vertical="top"/>
    </xf>
    <xf numFmtId="0" fontId="0" fillId="2" borderId="10" xfId="0" applyFill="1" applyBorder="1" applyAlignment="1">
      <alignment horizontal="left" vertical="top"/>
    </xf>
    <xf numFmtId="0" fontId="0" fillId="2" borderId="0" xfId="0" applyFill="1" applyAlignment="1">
      <alignment horizontal="left" vertical="top"/>
    </xf>
    <xf numFmtId="0" fontId="4" fillId="9" borderId="154" xfId="0" applyFont="1" applyFill="1" applyBorder="1" applyAlignment="1">
      <alignment horizontal="center" vertical="center"/>
    </xf>
    <xf numFmtId="0" fontId="4" fillId="9" borderId="155" xfId="0" applyFont="1" applyFill="1" applyBorder="1" applyAlignment="1">
      <alignment horizontal="center" vertical="center"/>
    </xf>
    <xf numFmtId="0" fontId="4" fillId="9" borderId="156" xfId="0" applyFont="1" applyFill="1" applyBorder="1" applyAlignment="1">
      <alignment horizontal="center" vertical="center"/>
    </xf>
    <xf numFmtId="0" fontId="0" fillId="2" borderId="0" xfId="0" applyFill="1" applyAlignment="1">
      <alignment horizontal="left" vertical="top" wrapText="1"/>
    </xf>
    <xf numFmtId="0" fontId="0" fillId="2" borderId="0" xfId="0" applyFill="1" applyAlignment="1">
      <alignment horizontal="left" vertical="center"/>
    </xf>
    <xf numFmtId="0" fontId="7" fillId="2" borderId="0" xfId="0" applyFont="1" applyFill="1" applyAlignment="1">
      <alignment horizontal="left" vertical="top" wrapText="1"/>
    </xf>
    <xf numFmtId="0" fontId="7" fillId="2" borderId="66" xfId="0" applyFont="1" applyFill="1" applyBorder="1" applyAlignment="1">
      <alignment horizontal="left" vertical="top" wrapText="1"/>
    </xf>
    <xf numFmtId="0" fontId="4" fillId="6" borderId="6" xfId="0" applyFont="1" applyFill="1" applyBorder="1" applyAlignment="1">
      <alignment horizontal="center" vertical="center"/>
    </xf>
    <xf numFmtId="0" fontId="4" fillId="6" borderId="7" xfId="0" applyFont="1" applyFill="1" applyBorder="1" applyAlignment="1">
      <alignment horizontal="center" vertical="center"/>
    </xf>
    <xf numFmtId="0" fontId="12" fillId="6" borderId="6" xfId="0" applyFont="1" applyFill="1" applyBorder="1" applyAlignment="1">
      <alignment horizontal="left" wrapText="1"/>
    </xf>
    <xf numFmtId="0" fontId="12" fillId="6" borderId="7" xfId="0" applyFont="1" applyFill="1" applyBorder="1" applyAlignment="1">
      <alignment horizontal="left" wrapText="1"/>
    </xf>
    <xf numFmtId="0" fontId="6" fillId="3" borderId="22" xfId="0" applyFont="1" applyFill="1" applyBorder="1" applyAlignment="1">
      <alignment horizontal="center"/>
    </xf>
    <xf numFmtId="0" fontId="6" fillId="3" borderId="23" xfId="0" applyFont="1" applyFill="1" applyBorder="1" applyAlignment="1">
      <alignment horizontal="center"/>
    </xf>
    <xf numFmtId="0" fontId="6" fillId="3" borderId="24" xfId="0" applyFont="1" applyFill="1" applyBorder="1" applyAlignment="1">
      <alignment horizontal="center"/>
    </xf>
    <xf numFmtId="0" fontId="0" fillId="3" borderId="22" xfId="0" applyFill="1" applyBorder="1" applyAlignment="1">
      <alignment horizontal="center"/>
    </xf>
    <xf numFmtId="0" fontId="0" fillId="3" borderId="23" xfId="0" applyFill="1" applyBorder="1" applyAlignment="1">
      <alignment horizontal="center"/>
    </xf>
    <xf numFmtId="0" fontId="0" fillId="3" borderId="24" xfId="0" applyFill="1" applyBorder="1" applyAlignment="1">
      <alignment horizontal="center"/>
    </xf>
    <xf numFmtId="17" fontId="0" fillId="3" borderId="22" xfId="0" applyNumberFormat="1" applyFill="1" applyBorder="1" applyAlignment="1">
      <alignment horizontal="center"/>
    </xf>
    <xf numFmtId="17" fontId="0" fillId="3" borderId="23" xfId="0" applyNumberFormat="1" applyFill="1" applyBorder="1" applyAlignment="1">
      <alignment horizontal="center"/>
    </xf>
    <xf numFmtId="17" fontId="0" fillId="3" borderId="24" xfId="0" applyNumberFormat="1" applyFill="1" applyBorder="1" applyAlignment="1">
      <alignment horizontal="center"/>
    </xf>
    <xf numFmtId="0" fontId="0" fillId="2" borderId="30" xfId="0" applyFill="1" applyBorder="1" applyAlignment="1">
      <alignment horizontal="left" vertical="top" wrapText="1"/>
    </xf>
    <xf numFmtId="0" fontId="0" fillId="2" borderId="31" xfId="0" applyFill="1" applyBorder="1" applyAlignment="1">
      <alignment horizontal="left" vertical="top" wrapText="1"/>
    </xf>
    <xf numFmtId="0" fontId="0" fillId="2" borderId="33" xfId="0" applyFill="1" applyBorder="1" applyAlignment="1">
      <alignment horizontal="left" vertical="top" wrapText="1"/>
    </xf>
    <xf numFmtId="0" fontId="0" fillId="2" borderId="35" xfId="0" applyFill="1" applyBorder="1" applyAlignment="1">
      <alignment horizontal="left" vertical="top" wrapText="1"/>
    </xf>
    <xf numFmtId="0" fontId="0" fillId="2" borderId="36" xfId="0" applyFill="1" applyBorder="1" applyAlignment="1">
      <alignment horizontal="left" vertical="top" wrapText="1"/>
    </xf>
    <xf numFmtId="0" fontId="4" fillId="2" borderId="53" xfId="0" applyFont="1" applyFill="1" applyBorder="1" applyAlignment="1">
      <alignment horizontal="center" vertical="center" wrapText="1"/>
    </xf>
    <xf numFmtId="0" fontId="4" fillId="2" borderId="52"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4" fillId="2" borderId="0" xfId="0" applyFont="1" applyFill="1" applyAlignment="1">
      <alignment horizontal="center" vertical="center" wrapText="1"/>
    </xf>
    <xf numFmtId="0" fontId="4" fillId="4" borderId="6" xfId="0" applyFont="1" applyFill="1" applyBorder="1" applyAlignment="1">
      <alignment horizontal="center"/>
    </xf>
    <xf numFmtId="0" fontId="4" fillId="4" borderId="28" xfId="0" applyFont="1" applyFill="1" applyBorder="1" applyAlignment="1">
      <alignment horizontal="center"/>
    </xf>
    <xf numFmtId="0" fontId="4" fillId="4" borderId="7" xfId="0" applyFont="1" applyFill="1" applyBorder="1" applyAlignment="1">
      <alignment horizontal="center"/>
    </xf>
    <xf numFmtId="0" fontId="4" fillId="4" borderId="6" xfId="0" applyFont="1" applyFill="1" applyBorder="1" applyAlignment="1">
      <alignment horizontal="center" vertical="center" wrapText="1"/>
    </xf>
    <xf numFmtId="0" fontId="4" fillId="4" borderId="28" xfId="0" applyFont="1" applyFill="1" applyBorder="1" applyAlignment="1">
      <alignment horizontal="center" vertical="center" wrapText="1"/>
    </xf>
    <xf numFmtId="0" fontId="4" fillId="4" borderId="7" xfId="0" applyFont="1" applyFill="1" applyBorder="1" applyAlignment="1">
      <alignment horizontal="center" vertical="center" wrapText="1"/>
    </xf>
    <xf numFmtId="0" fontId="4" fillId="4" borderId="9" xfId="0" applyFont="1" applyFill="1" applyBorder="1" applyAlignment="1">
      <alignment horizontal="left" vertical="center" wrapText="1"/>
    </xf>
    <xf numFmtId="0" fontId="4" fillId="4" borderId="10" xfId="0" applyFont="1" applyFill="1" applyBorder="1" applyAlignment="1">
      <alignment horizontal="left"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4" fillId="3" borderId="96" xfId="0" applyFont="1" applyFill="1" applyBorder="1" applyAlignment="1">
      <alignment horizontal="left" vertical="center"/>
    </xf>
    <xf numFmtId="0" fontId="4" fillId="3" borderId="97" xfId="0" applyFont="1" applyFill="1" applyBorder="1" applyAlignment="1">
      <alignment horizontal="left" vertical="center"/>
    </xf>
    <xf numFmtId="0" fontId="4" fillId="3" borderId="100" xfId="0" applyFont="1" applyFill="1" applyBorder="1" applyAlignment="1">
      <alignment horizontal="left" vertical="center"/>
    </xf>
    <xf numFmtId="0" fontId="4" fillId="3" borderId="101" xfId="0" applyFont="1" applyFill="1" applyBorder="1" applyAlignment="1">
      <alignment horizontal="left" vertical="center"/>
    </xf>
    <xf numFmtId="0" fontId="4" fillId="4" borderId="30" xfId="0" applyFont="1" applyFill="1" applyBorder="1" applyAlignment="1">
      <alignment horizontal="center" vertical="center" wrapText="1"/>
    </xf>
    <xf numFmtId="0" fontId="4" fillId="4" borderId="32" xfId="0" applyFont="1" applyFill="1" applyBorder="1" applyAlignment="1">
      <alignment horizontal="center" vertical="center" wrapText="1"/>
    </xf>
    <xf numFmtId="0" fontId="4" fillId="4" borderId="35" xfId="0" applyFont="1" applyFill="1" applyBorder="1" applyAlignment="1">
      <alignment horizontal="center" vertical="center" wrapText="1"/>
    </xf>
    <xf numFmtId="0" fontId="4" fillId="4" borderId="37" xfId="0" applyFont="1" applyFill="1" applyBorder="1" applyAlignment="1">
      <alignment horizontal="center" vertical="center" wrapText="1"/>
    </xf>
    <xf numFmtId="0" fontId="4" fillId="4" borderId="8" xfId="0" applyFont="1" applyFill="1" applyBorder="1" applyAlignment="1">
      <alignment horizontal="center" vertical="center" wrapText="1"/>
    </xf>
    <xf numFmtId="0" fontId="4" fillId="3" borderId="150" xfId="0" applyFont="1" applyFill="1" applyBorder="1" applyAlignment="1">
      <alignment horizontal="left" vertical="center"/>
    </xf>
    <xf numFmtId="0" fontId="4" fillId="3" borderId="151" xfId="0" applyFont="1" applyFill="1" applyBorder="1" applyAlignment="1">
      <alignment horizontal="left" vertical="center"/>
    </xf>
    <xf numFmtId="0" fontId="0" fillId="2" borderId="152" xfId="0" applyFill="1" applyBorder="1" applyAlignment="1">
      <alignment horizontal="left" vertical="top" wrapText="1"/>
    </xf>
    <xf numFmtId="0" fontId="0" fillId="2" borderId="52" xfId="0" applyFill="1" applyBorder="1" applyAlignment="1">
      <alignment horizontal="left" vertical="top" wrapText="1"/>
    </xf>
    <xf numFmtId="0" fontId="0" fillId="2" borderId="153" xfId="0" applyFill="1" applyBorder="1" applyAlignment="1">
      <alignment horizontal="left" vertical="top" wrapText="1"/>
    </xf>
    <xf numFmtId="0" fontId="0" fillId="2" borderId="53" xfId="0" applyFill="1" applyBorder="1" applyAlignment="1">
      <alignment horizontal="left" vertical="top" wrapText="1"/>
    </xf>
    <xf numFmtId="0" fontId="0" fillId="2" borderId="54" xfId="0" applyFill="1" applyBorder="1" applyAlignment="1">
      <alignment horizontal="left" vertical="top" wrapText="1"/>
    </xf>
    <xf numFmtId="0" fontId="0" fillId="2" borderId="60" xfId="0" applyFill="1" applyBorder="1" applyAlignment="1">
      <alignment horizontal="left" vertical="top" wrapText="1"/>
    </xf>
    <xf numFmtId="0" fontId="0" fillId="2" borderId="66" xfId="0" applyFill="1" applyBorder="1" applyAlignment="1">
      <alignment horizontal="left" vertical="top" wrapText="1"/>
    </xf>
    <xf numFmtId="0" fontId="0" fillId="2" borderId="32" xfId="0" applyFill="1" applyBorder="1" applyAlignment="1">
      <alignment horizontal="left" vertical="top" wrapText="1"/>
    </xf>
    <xf numFmtId="0" fontId="0" fillId="2" borderId="37" xfId="0" applyFill="1" applyBorder="1" applyAlignment="1">
      <alignment horizontal="left" vertical="top" wrapText="1"/>
    </xf>
    <xf numFmtId="0" fontId="4" fillId="4" borderId="109" xfId="0" applyFont="1" applyFill="1" applyBorder="1" applyAlignment="1">
      <alignment horizontal="center" vertical="center" wrapText="1"/>
    </xf>
    <xf numFmtId="0" fontId="4" fillId="4" borderId="110" xfId="0" applyFont="1" applyFill="1" applyBorder="1" applyAlignment="1">
      <alignment horizontal="center" vertical="center" wrapText="1"/>
    </xf>
    <xf numFmtId="0" fontId="4" fillId="4" borderId="111" xfId="0" applyFont="1" applyFill="1" applyBorder="1" applyAlignment="1">
      <alignment horizontal="center" vertical="center" wrapText="1"/>
    </xf>
    <xf numFmtId="0" fontId="4" fillId="4" borderId="6" xfId="0" applyFont="1" applyFill="1" applyBorder="1" applyAlignment="1">
      <alignment horizontal="left" vertical="center"/>
    </xf>
    <xf numFmtId="0" fontId="4" fillId="4" borderId="28" xfId="0" applyFont="1" applyFill="1" applyBorder="1" applyAlignment="1">
      <alignment horizontal="left" vertical="center"/>
    </xf>
    <xf numFmtId="0" fontId="4" fillId="4" borderId="7" xfId="0" applyFont="1" applyFill="1" applyBorder="1" applyAlignment="1">
      <alignment horizontal="left" vertical="center"/>
    </xf>
    <xf numFmtId="0" fontId="2" fillId="8" borderId="6" xfId="0" applyFont="1" applyFill="1" applyBorder="1" applyAlignment="1">
      <alignment horizontal="center" vertical="center"/>
    </xf>
    <xf numFmtId="0" fontId="2" fillId="8" borderId="7" xfId="0" applyFont="1" applyFill="1" applyBorder="1" applyAlignment="1">
      <alignment horizontal="center" vertical="center"/>
    </xf>
    <xf numFmtId="0" fontId="2" fillId="8" borderId="9" xfId="0" applyFont="1" applyFill="1" applyBorder="1" applyAlignment="1">
      <alignment horizontal="center" vertical="center" wrapText="1"/>
    </xf>
    <xf numFmtId="0" fontId="2" fillId="8" borderId="10" xfId="0" applyFont="1" applyFill="1" applyBorder="1" applyAlignment="1">
      <alignment horizontal="center" vertical="center" wrapText="1"/>
    </xf>
    <xf numFmtId="0" fontId="0" fillId="5" borderId="6" xfId="0" applyFill="1" applyBorder="1" applyAlignment="1">
      <alignment horizontal="left" vertical="center" wrapText="1"/>
    </xf>
    <xf numFmtId="0" fontId="0" fillId="5" borderId="7" xfId="0" applyFill="1" applyBorder="1" applyAlignment="1">
      <alignment horizontal="left" vertical="center" wrapText="1"/>
    </xf>
    <xf numFmtId="0" fontId="2" fillId="2" borderId="2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4" fillId="4" borderId="30" xfId="0" applyFont="1" applyFill="1" applyBorder="1" applyAlignment="1">
      <alignment horizontal="left" vertical="center" indent="1"/>
    </xf>
    <xf numFmtId="0" fontId="4" fillId="4" borderId="31" xfId="0" applyFont="1" applyFill="1" applyBorder="1" applyAlignment="1">
      <alignment horizontal="left" vertical="center" indent="1"/>
    </xf>
    <xf numFmtId="0" fontId="4" fillId="4" borderId="32" xfId="0" applyFont="1" applyFill="1" applyBorder="1" applyAlignment="1">
      <alignment horizontal="left" vertical="center" indent="1"/>
    </xf>
    <xf numFmtId="0" fontId="4" fillId="4" borderId="35" xfId="0" applyFont="1" applyFill="1" applyBorder="1" applyAlignment="1">
      <alignment horizontal="left" vertical="center" indent="1"/>
    </xf>
    <xf numFmtId="0" fontId="4" fillId="4" borderId="36" xfId="0" applyFont="1" applyFill="1" applyBorder="1" applyAlignment="1">
      <alignment horizontal="left" vertical="center" indent="1"/>
    </xf>
    <xf numFmtId="0" fontId="4" fillId="4" borderId="37" xfId="0" applyFont="1" applyFill="1" applyBorder="1" applyAlignment="1">
      <alignment horizontal="left" vertical="center" indent="1"/>
    </xf>
    <xf numFmtId="0" fontId="0" fillId="2" borderId="30" xfId="0" applyFill="1" applyBorder="1" applyAlignment="1">
      <alignment horizontal="left" vertical="center" wrapText="1" indent="1"/>
    </xf>
    <xf numFmtId="0" fontId="0" fillId="2" borderId="31" xfId="0" applyFill="1" applyBorder="1" applyAlignment="1">
      <alignment horizontal="left" vertical="center" wrapText="1" indent="1"/>
    </xf>
    <xf numFmtId="0" fontId="0" fillId="2" borderId="33" xfId="0" applyFill="1" applyBorder="1" applyAlignment="1">
      <alignment horizontal="left" vertical="center" wrapText="1" indent="1"/>
    </xf>
    <xf numFmtId="0" fontId="0" fillId="2" borderId="0" xfId="0" applyFill="1" applyAlignment="1">
      <alignment horizontal="left" vertical="center" wrapText="1" indent="1"/>
    </xf>
    <xf numFmtId="0" fontId="0" fillId="6" borderId="9" xfId="0" applyFill="1" applyBorder="1" applyAlignment="1">
      <alignment horizontal="left" vertical="center" wrapText="1"/>
    </xf>
    <xf numFmtId="0" fontId="0" fillId="6" borderId="30" xfId="0" applyFill="1" applyBorder="1" applyAlignment="1">
      <alignment horizontal="left" vertical="center" wrapText="1"/>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0" fillId="6" borderId="131" xfId="0" applyFill="1" applyBorder="1" applyAlignment="1">
      <alignment horizontal="left" vertical="center" wrapText="1"/>
    </xf>
    <xf numFmtId="0" fontId="0" fillId="6" borderId="33" xfId="0" applyFill="1" applyBorder="1" applyAlignment="1">
      <alignment horizontal="left" vertical="center" wrapText="1"/>
    </xf>
    <xf numFmtId="0" fontId="0" fillId="2" borderId="0" xfId="0" applyFill="1" applyAlignment="1">
      <alignment horizontal="left" vertical="center" wrapText="1"/>
    </xf>
    <xf numFmtId="0" fontId="0" fillId="2" borderId="0" xfId="0" applyFill="1" applyAlignment="1">
      <alignment horizontal="center" vertical="center" wrapText="1"/>
    </xf>
    <xf numFmtId="166" fontId="4" fillId="2" borderId="34" xfId="3" applyNumberFormat="1" applyFont="1" applyFill="1" applyBorder="1" applyAlignment="1">
      <alignment horizontal="center" vertical="center" wrapText="1"/>
    </xf>
    <xf numFmtId="0" fontId="4" fillId="6" borderId="10" xfId="0" applyFont="1" applyFill="1" applyBorder="1" applyAlignment="1">
      <alignment horizontal="left" vertical="center" wrapText="1"/>
    </xf>
    <xf numFmtId="0" fontId="4" fillId="6" borderId="35" xfId="0" applyFont="1" applyFill="1" applyBorder="1" applyAlignment="1">
      <alignment horizontal="left" vertical="center" wrapText="1"/>
    </xf>
    <xf numFmtId="0" fontId="4" fillId="4" borderId="6" xfId="0" applyFont="1" applyFill="1" applyBorder="1" applyAlignment="1">
      <alignment horizontal="center" vertical="center"/>
    </xf>
    <xf numFmtId="0" fontId="4" fillId="4" borderId="28" xfId="0" applyFont="1" applyFill="1" applyBorder="1" applyAlignment="1">
      <alignment horizontal="center" vertical="center"/>
    </xf>
    <xf numFmtId="0" fontId="4" fillId="4" borderId="7" xfId="0" applyFont="1" applyFill="1" applyBorder="1" applyAlignment="1">
      <alignment horizontal="center" vertical="center"/>
    </xf>
    <xf numFmtId="0" fontId="0" fillId="2" borderId="9" xfId="0" applyFill="1" applyBorder="1" applyAlignment="1">
      <alignment horizontal="center" vertical="top"/>
    </xf>
    <xf numFmtId="0" fontId="0" fillId="2" borderId="10" xfId="0" applyFill="1" applyBorder="1" applyAlignment="1">
      <alignment horizontal="center" vertical="top"/>
    </xf>
  </cellXfs>
  <cellStyles count="4">
    <cellStyle name="Comma" xfId="1" builtinId="3"/>
    <cellStyle name="Currency" xfId="2" builtinId="4"/>
    <cellStyle name="Normal" xfId="0" builtinId="0"/>
    <cellStyle name="Percent" xfId="3" builtinId="5"/>
  </cellStyles>
  <dxfs count="24">
    <dxf>
      <font>
        <color rgb="FFFF0000"/>
      </font>
    </dxf>
    <dxf>
      <font>
        <color theme="0"/>
      </font>
    </dxf>
    <dxf>
      <font>
        <color rgb="FFFF0000"/>
      </font>
    </dxf>
    <dxf>
      <font>
        <color rgb="FFFF0000"/>
      </font>
    </dxf>
    <dxf>
      <font>
        <color rgb="FFFF0000"/>
      </font>
    </dxf>
    <dxf>
      <font>
        <color theme="0"/>
      </font>
    </dxf>
    <dxf>
      <font>
        <color rgb="FFFF0000"/>
      </font>
    </dxf>
    <dxf>
      <font>
        <color rgb="FFFF0000"/>
      </font>
    </dxf>
    <dxf>
      <font>
        <color rgb="FFFF0000"/>
      </font>
    </dxf>
    <dxf>
      <font>
        <color theme="0"/>
      </font>
    </dxf>
    <dxf>
      <font>
        <color rgb="FFFF0000"/>
      </font>
    </dxf>
    <dxf>
      <font>
        <color rgb="FFFF0000"/>
      </font>
    </dxf>
    <dxf>
      <font>
        <color rgb="FFFF0000"/>
      </font>
    </dxf>
    <dxf>
      <font>
        <color theme="0"/>
      </font>
    </dxf>
    <dxf>
      <font>
        <color rgb="FFFF0000"/>
      </font>
    </dxf>
    <dxf>
      <font>
        <color rgb="FFFF0000"/>
      </font>
    </dxf>
    <dxf>
      <font>
        <color rgb="FFFF0000"/>
      </font>
    </dxf>
    <dxf>
      <font>
        <color theme="0"/>
      </font>
    </dxf>
    <dxf>
      <font>
        <color rgb="FFFF0000"/>
      </font>
    </dxf>
    <dxf>
      <font>
        <color rgb="FFFF0000"/>
      </font>
    </dxf>
    <dxf>
      <font>
        <color theme="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wmf"/></Relationships>
</file>

<file path=xl/drawings/_rels/drawing2.x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xdr:row>
      <xdr:rowOff>28217</xdr:rowOff>
    </xdr:from>
    <xdr:to>
      <xdr:col>2</xdr:col>
      <xdr:colOff>675041</xdr:colOff>
      <xdr:row>5</xdr:row>
      <xdr:rowOff>38742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5100" y="218717"/>
          <a:ext cx="675041" cy="75982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8394700</xdr:colOff>
          <xdr:row>2</xdr:row>
          <xdr:rowOff>101600</xdr:rowOff>
        </xdr:from>
        <xdr:to>
          <xdr:col>3</xdr:col>
          <xdr:colOff>9867900</xdr:colOff>
          <xdr:row>4</xdr:row>
          <xdr:rowOff>101600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12700</xdr:colOff>
      <xdr:row>1</xdr:row>
      <xdr:rowOff>69850</xdr:rowOff>
    </xdr:from>
    <xdr:to>
      <xdr:col>5</xdr:col>
      <xdr:colOff>266700</xdr:colOff>
      <xdr:row>5</xdr:row>
      <xdr:rowOff>82632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184150"/>
          <a:ext cx="685800" cy="762082"/>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927100</xdr:colOff>
          <xdr:row>37</xdr:row>
          <xdr:rowOff>165100</xdr:rowOff>
        </xdr:from>
        <xdr:to>
          <xdr:col>15</xdr:col>
          <xdr:colOff>501650</xdr:colOff>
          <xdr:row>40</xdr:row>
          <xdr:rowOff>127000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444500</xdr:colOff>
          <xdr:row>7</xdr:row>
          <xdr:rowOff>107950</xdr:rowOff>
        </xdr:from>
        <xdr:to>
          <xdr:col>24</xdr:col>
          <xdr:colOff>76200</xdr:colOff>
          <xdr:row>9</xdr:row>
          <xdr:rowOff>215900</xdr:rowOff>
        </xdr:to>
        <xdr:sp macro="" textlink="">
          <xdr:nvSpPr>
            <xdr:cNvPr id="2050" name="cmd_Consideration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xdr:colOff>
          <xdr:row>23</xdr:row>
          <xdr:rowOff>107950</xdr:rowOff>
        </xdr:from>
        <xdr:to>
          <xdr:col>7</xdr:col>
          <xdr:colOff>368300</xdr:colOff>
          <xdr:row>25</xdr:row>
          <xdr:rowOff>69850</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xdr:colOff>
          <xdr:row>25</xdr:row>
          <xdr:rowOff>101600</xdr:rowOff>
        </xdr:from>
        <xdr:to>
          <xdr:col>7</xdr:col>
          <xdr:colOff>361950</xdr:colOff>
          <xdr:row>27</xdr:row>
          <xdr:rowOff>88900</xdr:rowOff>
        </xdr:to>
        <xdr:sp macro="" textlink="">
          <xdr:nvSpPr>
            <xdr:cNvPr id="2052" name="CommandButton3"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25400</xdr:colOff>
          <xdr:row>27</xdr:row>
          <xdr:rowOff>133350</xdr:rowOff>
        </xdr:from>
        <xdr:to>
          <xdr:col>7</xdr:col>
          <xdr:colOff>355600</xdr:colOff>
          <xdr:row>29</xdr:row>
          <xdr:rowOff>95250</xdr:rowOff>
        </xdr:to>
        <xdr:sp macro="" textlink="">
          <xdr:nvSpPr>
            <xdr:cNvPr id="2053" name="CommandButton4"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29</xdr:row>
          <xdr:rowOff>127000</xdr:rowOff>
        </xdr:from>
        <xdr:to>
          <xdr:col>7</xdr:col>
          <xdr:colOff>349250</xdr:colOff>
          <xdr:row>31</xdr:row>
          <xdr:rowOff>76200</xdr:rowOff>
        </xdr:to>
        <xdr:sp macro="" textlink="">
          <xdr:nvSpPr>
            <xdr:cNvPr id="2054" name="CommandButton5"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50800</xdr:colOff>
          <xdr:row>19</xdr:row>
          <xdr:rowOff>139700</xdr:rowOff>
        </xdr:from>
        <xdr:to>
          <xdr:col>7</xdr:col>
          <xdr:colOff>381000</xdr:colOff>
          <xdr:row>21</xdr:row>
          <xdr:rowOff>76200</xdr:rowOff>
        </xdr:to>
        <xdr:sp macro="" textlink="">
          <xdr:nvSpPr>
            <xdr:cNvPr id="2055" name="CommandButton6"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50800</xdr:colOff>
          <xdr:row>21</xdr:row>
          <xdr:rowOff>114300</xdr:rowOff>
        </xdr:from>
        <xdr:to>
          <xdr:col>7</xdr:col>
          <xdr:colOff>381000</xdr:colOff>
          <xdr:row>23</xdr:row>
          <xdr:rowOff>63500</xdr:rowOff>
        </xdr:to>
        <xdr:sp macro="" textlink="">
          <xdr:nvSpPr>
            <xdr:cNvPr id="2056" name="CommandButton7"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520700</xdr:colOff>
          <xdr:row>7</xdr:row>
          <xdr:rowOff>177800</xdr:rowOff>
        </xdr:from>
        <xdr:to>
          <xdr:col>6</xdr:col>
          <xdr:colOff>711200</xdr:colOff>
          <xdr:row>9</xdr:row>
          <xdr:rowOff>177800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558800</xdr:colOff>
          <xdr:row>8</xdr:row>
          <xdr:rowOff>6350</xdr:rowOff>
        </xdr:from>
        <xdr:to>
          <xdr:col>6</xdr:col>
          <xdr:colOff>736600</xdr:colOff>
          <xdr:row>10</xdr:row>
          <xdr:rowOff>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406400</xdr:colOff>
          <xdr:row>7</xdr:row>
          <xdr:rowOff>120650</xdr:rowOff>
        </xdr:from>
        <xdr:to>
          <xdr:col>6</xdr:col>
          <xdr:colOff>647700</xdr:colOff>
          <xdr:row>9</xdr:row>
          <xdr:rowOff>114300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533400</xdr:colOff>
          <xdr:row>7</xdr:row>
          <xdr:rowOff>177800</xdr:rowOff>
        </xdr:from>
        <xdr:to>
          <xdr:col>6</xdr:col>
          <xdr:colOff>717550</xdr:colOff>
          <xdr:row>9</xdr:row>
          <xdr:rowOff>165100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546100</xdr:colOff>
          <xdr:row>8</xdr:row>
          <xdr:rowOff>25400</xdr:rowOff>
        </xdr:from>
        <xdr:to>
          <xdr:col>6</xdr:col>
          <xdr:colOff>730250</xdr:colOff>
          <xdr:row>10</xdr:row>
          <xdr:rowOff>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482600</xdr:colOff>
          <xdr:row>7</xdr:row>
          <xdr:rowOff>165100</xdr:rowOff>
        </xdr:from>
        <xdr:to>
          <xdr:col>8</xdr:col>
          <xdr:colOff>317500</xdr:colOff>
          <xdr:row>10</xdr:row>
          <xdr:rowOff>6350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533400</xdr:colOff>
          <xdr:row>7</xdr:row>
          <xdr:rowOff>31750</xdr:rowOff>
        </xdr:from>
        <xdr:to>
          <xdr:col>9</xdr:col>
          <xdr:colOff>95250</xdr:colOff>
          <xdr:row>8</xdr:row>
          <xdr:rowOff>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5264150</xdr:colOff>
          <xdr:row>1</xdr:row>
          <xdr:rowOff>50800</xdr:rowOff>
        </xdr:from>
        <xdr:to>
          <xdr:col>6</xdr:col>
          <xdr:colOff>0</xdr:colOff>
          <xdr:row>2</xdr:row>
          <xdr:rowOff>184150</xdr:rowOff>
        </xdr:to>
        <xdr:sp macro="" textlink="">
          <xdr:nvSpPr>
            <xdr:cNvPr id="11265" name="cmd_Back_to_Activities" hidden="1">
              <a:extLst>
                <a:ext uri="{63B3BB69-23CF-44E3-9099-C40C66FF867C}">
                  <a14:compatExt spid="_x0000_s11265"/>
                </a:ext>
                <a:ext uri="{FF2B5EF4-FFF2-40B4-BE49-F238E27FC236}">
                  <a16:creationId xmlns:a16="http://schemas.microsoft.com/office/drawing/2014/main" id="{00000000-0008-0000-0F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st%20Reduction%20Resource%20and%20Cost%20Mode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ites/Consulting_Methods/Supporting%20Documents/Product%20Lifecycle%20Management/Resource%20and%20Cost%20Model%20-%20PLM%20-%20Delivery%20Toolki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 Plan - High"/>
      <sheetName val="Instructions"/>
      <sheetName val="Scope and Scaling Factors"/>
      <sheetName val="Self Assessment"/>
      <sheetName val="Rapid Assessment"/>
      <sheetName val="Target Assessment"/>
      <sheetName val="Target Assessment Deep Dive"/>
      <sheetName val="Transformative Assessment"/>
      <sheetName val="Transf. Assessment Deep Dive"/>
      <sheetName val="Rate Card"/>
      <sheetName val="Rate Card (2)"/>
      <sheetName val="Consideration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ope"/>
      <sheetName val="Resource Plan"/>
      <sheetName val="Rate Card"/>
      <sheetName val="Considerations"/>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7.emf"/><Relationship Id="rId1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6.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8.xml"/><Relationship Id="rId1" Type="http://schemas.openxmlformats.org/officeDocument/2006/relationships/printerSettings" Target="../printerSettings/printerSettings1.bin"/><Relationship Id="rId6" Type="http://schemas.openxmlformats.org/officeDocument/2006/relationships/control" Target="../activeX/activeX3.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5.xml"/><Relationship Id="rId19" Type="http://schemas.openxmlformats.org/officeDocument/2006/relationships/image" Target="../media/image10.emf"/><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ontrol" Target="../activeX/activeX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11.emf"/><Relationship Id="rId4"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image" Target="../media/image12.emf"/><Relationship Id="rId4" Type="http://schemas.openxmlformats.org/officeDocument/2006/relationships/control" Target="../activeX/activeX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3.emf"/><Relationship Id="rId4" Type="http://schemas.openxmlformats.org/officeDocument/2006/relationships/control" Target="../activeX/activeX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14.emf"/><Relationship Id="rId4" Type="http://schemas.openxmlformats.org/officeDocument/2006/relationships/control" Target="../activeX/activeX1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image" Target="../media/image15.emf"/><Relationship Id="rId4" Type="http://schemas.openxmlformats.org/officeDocument/2006/relationships/control" Target="../activeX/activeX1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6.emf"/><Relationship Id="rId4" Type="http://schemas.openxmlformats.org/officeDocument/2006/relationships/control" Target="../activeX/activeX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image" Target="../media/image17.emf"/><Relationship Id="rId4" Type="http://schemas.openxmlformats.org/officeDocument/2006/relationships/control" Target="../activeX/activeX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5.bin"/><Relationship Id="rId5" Type="http://schemas.openxmlformats.org/officeDocument/2006/relationships/image" Target="../media/image18.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96501-FF91-42ED-9F66-EB6F376DA73A}">
  <sheetPr codeName="Sheet10"/>
  <dimension ref="B1:E17"/>
  <sheetViews>
    <sheetView tabSelected="1" zoomScale="70" zoomScaleNormal="70" workbookViewId="0">
      <selection activeCell="D14" sqref="D14"/>
    </sheetView>
  </sheetViews>
  <sheetFormatPr defaultColWidth="8.81640625" defaultRowHeight="14.5" x14ac:dyDescent="0.35"/>
  <cols>
    <col min="1" max="2" width="1.1796875" style="1" customWidth="1"/>
    <col min="3" max="3" width="30" style="1" customWidth="1"/>
    <col min="4" max="4" width="142" style="1" customWidth="1"/>
    <col min="5" max="5" width="1.1796875" style="1" customWidth="1"/>
    <col min="6" max="16384" width="8.81640625" style="1"/>
  </cols>
  <sheetData>
    <row r="1" spans="2:5" ht="15" thickBot="1" x14ac:dyDescent="0.4"/>
    <row r="2" spans="2:5" x14ac:dyDescent="0.35">
      <c r="B2" s="2"/>
      <c r="C2" s="3"/>
      <c r="D2" s="3"/>
      <c r="E2" s="4"/>
    </row>
    <row r="3" spans="2:5" ht="15.5" x14ac:dyDescent="0.35">
      <c r="B3" s="5"/>
      <c r="C3" s="350" t="s">
        <v>0</v>
      </c>
      <c r="D3" s="350"/>
      <c r="E3" s="6"/>
    </row>
    <row r="4" spans="2:5" x14ac:dyDescent="0.35">
      <c r="B4" s="5"/>
      <c r="C4" s="351" t="s">
        <v>1</v>
      </c>
      <c r="D4" s="351"/>
      <c r="E4" s="6"/>
    </row>
    <row r="5" spans="2:5" x14ac:dyDescent="0.35">
      <c r="B5" s="5"/>
      <c r="C5" s="7"/>
      <c r="D5" s="7"/>
      <c r="E5" s="6"/>
    </row>
    <row r="6" spans="2:5" x14ac:dyDescent="0.35">
      <c r="B6" s="5"/>
      <c r="C6" s="7"/>
      <c r="D6" s="7"/>
      <c r="E6" s="6"/>
    </row>
    <row r="7" spans="2:5" x14ac:dyDescent="0.35">
      <c r="B7" s="5"/>
      <c r="C7" s="352" t="s">
        <v>2</v>
      </c>
      <c r="D7" s="353"/>
      <c r="E7" s="6"/>
    </row>
    <row r="8" spans="2:5" ht="28.5" customHeight="1" x14ac:dyDescent="0.35">
      <c r="B8" s="5"/>
      <c r="C8" s="354" t="s">
        <v>3</v>
      </c>
      <c r="D8" s="355"/>
      <c r="E8" s="6"/>
    </row>
    <row r="9" spans="2:5" x14ac:dyDescent="0.35">
      <c r="B9" s="5"/>
      <c r="C9" s="7"/>
      <c r="D9" s="7"/>
      <c r="E9" s="6"/>
    </row>
    <row r="10" spans="2:5" x14ac:dyDescent="0.35">
      <c r="B10" s="5"/>
      <c r="C10" s="8" t="s">
        <v>4</v>
      </c>
      <c r="D10" s="8" t="s">
        <v>5</v>
      </c>
      <c r="E10" s="6"/>
    </row>
    <row r="11" spans="2:5" ht="43.5" x14ac:dyDescent="0.35">
      <c r="B11" s="5"/>
      <c r="C11" s="356" t="s">
        <v>6</v>
      </c>
      <c r="D11" s="9" t="s">
        <v>7</v>
      </c>
      <c r="E11" s="6"/>
    </row>
    <row r="12" spans="2:5" x14ac:dyDescent="0.35">
      <c r="B12" s="5"/>
      <c r="C12" s="357"/>
      <c r="D12" s="10" t="s">
        <v>8</v>
      </c>
      <c r="E12" s="6"/>
    </row>
    <row r="13" spans="2:5" ht="43.5" x14ac:dyDescent="0.35">
      <c r="B13" s="5"/>
      <c r="C13" s="11" t="s">
        <v>9</v>
      </c>
      <c r="D13" s="12" t="s">
        <v>10</v>
      </c>
      <c r="E13" s="6"/>
    </row>
    <row r="14" spans="2:5" ht="29" x14ac:dyDescent="0.35">
      <c r="B14" s="5"/>
      <c r="C14" s="11" t="s">
        <v>11</v>
      </c>
      <c r="D14" s="12" t="s">
        <v>12</v>
      </c>
      <c r="E14" s="6"/>
    </row>
    <row r="15" spans="2:5" ht="58" x14ac:dyDescent="0.35">
      <c r="B15" s="5"/>
      <c r="C15" s="11" t="s">
        <v>13</v>
      </c>
      <c r="D15" s="12" t="s">
        <v>14</v>
      </c>
      <c r="E15" s="6"/>
    </row>
    <row r="16" spans="2:5" ht="72.5" x14ac:dyDescent="0.35">
      <c r="B16" s="5"/>
      <c r="C16" s="11" t="s">
        <v>15</v>
      </c>
      <c r="D16" s="12" t="s">
        <v>184</v>
      </c>
      <c r="E16" s="6"/>
    </row>
    <row r="17" spans="2:5" ht="15" thickBot="1" x14ac:dyDescent="0.4">
      <c r="B17" s="13"/>
      <c r="C17" s="14"/>
      <c r="D17" s="14"/>
      <c r="E17" s="15"/>
    </row>
  </sheetData>
  <mergeCells count="5">
    <mergeCell ref="C3:D3"/>
    <mergeCell ref="C4:D4"/>
    <mergeCell ref="C7:D7"/>
    <mergeCell ref="C8:D8"/>
    <mergeCell ref="C11:C12"/>
  </mergeCells>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r:id="rId4">
            <anchor>
              <from>
                <xdr:col>3</xdr:col>
                <xdr:colOff>8394700</xdr:colOff>
                <xdr:row>2</xdr:row>
                <xdr:rowOff>101600</xdr:rowOff>
              </from>
              <to>
                <xdr:col>3</xdr:col>
                <xdr:colOff>9867900</xdr:colOff>
                <xdr:row>4</xdr:row>
                <xdr:rowOff>101600</xdr:rowOff>
              </to>
            </anchor>
          </controlPr>
        </control>
      </mc:Choice>
      <mc:Fallback>
        <control shapeId="1025"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F75C4-FF7F-4AA8-8307-E3863ABEDB01}">
  <sheetPr codeName="Sheet11">
    <tabColor theme="7" tint="0.79998168889431442"/>
    <pageSetUpPr autoPageBreaks="0"/>
  </sheetPr>
  <dimension ref="A1:AZ45"/>
  <sheetViews>
    <sheetView showGridLines="0" zoomScale="80" zoomScaleNormal="80" workbookViewId="0">
      <selection activeCell="E19" sqref="E19:J19"/>
    </sheetView>
  </sheetViews>
  <sheetFormatPr defaultColWidth="8.81640625" defaultRowHeight="14.5" x14ac:dyDescent="0.35"/>
  <cols>
    <col min="1" max="2" width="1.1796875" style="16" customWidth="1"/>
    <col min="3" max="3" width="2.81640625" style="16" customWidth="1"/>
    <col min="4" max="5" width="1.81640625" style="16" customWidth="1"/>
    <col min="6" max="6" width="32.81640625" style="16" customWidth="1"/>
    <col min="7" max="7" width="0.81640625" style="16" customWidth="1"/>
    <col min="8" max="8" width="15.81640625" style="16" customWidth="1"/>
    <col min="9" max="9" width="0.81640625" style="16" customWidth="1"/>
    <col min="10" max="10" width="16.1796875" style="16" customWidth="1"/>
    <col min="11" max="12" width="1.81640625" style="16" customWidth="1"/>
    <col min="13" max="15" width="2.81640625" style="16" customWidth="1"/>
    <col min="16" max="16" width="10.453125" style="129" customWidth="1"/>
    <col min="17" max="21" width="9.81640625" style="129" customWidth="1"/>
    <col min="22" max="22" width="10.81640625" style="129" customWidth="1"/>
    <col min="23" max="24" width="9.81640625" style="129" customWidth="1"/>
    <col min="25" max="25" width="2.81640625" style="16" customWidth="1"/>
    <col min="26" max="26" width="1.1796875" style="16" customWidth="1"/>
    <col min="27" max="16384" width="8.81640625" style="16"/>
  </cols>
  <sheetData>
    <row r="1" spans="1:27" ht="9.65" customHeight="1" thickBot="1" x14ac:dyDescent="0.4">
      <c r="B1" s="17"/>
      <c r="C1" s="17"/>
      <c r="D1" s="17"/>
      <c r="E1" s="17"/>
      <c r="F1" s="17"/>
      <c r="G1" s="17"/>
      <c r="H1" s="17"/>
      <c r="I1" s="17"/>
      <c r="J1" s="17"/>
      <c r="K1" s="17"/>
      <c r="L1" s="17"/>
      <c r="M1" s="17"/>
      <c r="N1" s="17"/>
      <c r="O1" s="17"/>
      <c r="P1" s="18"/>
      <c r="Q1" s="18"/>
      <c r="R1" s="18"/>
      <c r="S1" s="18"/>
      <c r="T1" s="18"/>
      <c r="U1" s="18"/>
      <c r="V1" s="18"/>
      <c r="W1" s="18"/>
      <c r="X1" s="18"/>
      <c r="Y1" s="17"/>
      <c r="Z1" s="17"/>
    </row>
    <row r="2" spans="1:27" x14ac:dyDescent="0.35">
      <c r="A2" s="19"/>
      <c r="B2" s="20"/>
      <c r="C2" s="21"/>
      <c r="D2" s="21"/>
      <c r="E2" s="21"/>
      <c r="F2" s="21"/>
      <c r="G2" s="21"/>
      <c r="H2" s="21"/>
      <c r="I2" s="21"/>
      <c r="J2" s="21"/>
      <c r="K2" s="21"/>
      <c r="L2" s="21"/>
      <c r="M2" s="21"/>
      <c r="N2" s="21"/>
      <c r="O2" s="21"/>
      <c r="P2" s="22"/>
      <c r="Q2" s="22"/>
      <c r="R2" s="22"/>
      <c r="S2" s="22"/>
      <c r="T2" s="22"/>
      <c r="U2" s="22"/>
      <c r="V2" s="22"/>
      <c r="W2" s="22"/>
      <c r="X2" s="22"/>
      <c r="Y2" s="21"/>
      <c r="Z2" s="23"/>
      <c r="AA2" s="24"/>
    </row>
    <row r="3" spans="1:27" ht="15.5" x14ac:dyDescent="0.35">
      <c r="A3" s="19"/>
      <c r="B3" s="25"/>
      <c r="C3" s="370" t="s">
        <v>0</v>
      </c>
      <c r="D3" s="371"/>
      <c r="E3" s="371"/>
      <c r="F3" s="371"/>
      <c r="G3" s="371"/>
      <c r="H3" s="371"/>
      <c r="I3" s="371"/>
      <c r="J3" s="371"/>
      <c r="K3" s="371"/>
      <c r="L3" s="371"/>
      <c r="M3" s="371"/>
      <c r="N3" s="371"/>
      <c r="O3" s="371"/>
      <c r="P3" s="371"/>
      <c r="Q3" s="371"/>
      <c r="R3" s="371"/>
      <c r="S3" s="371"/>
      <c r="T3" s="371"/>
      <c r="U3" s="371"/>
      <c r="V3" s="371"/>
      <c r="W3" s="371"/>
      <c r="X3" s="371"/>
      <c r="Y3" s="372"/>
      <c r="Z3" s="26"/>
      <c r="AA3" s="24"/>
    </row>
    <row r="4" spans="1:27" x14ac:dyDescent="0.35">
      <c r="A4" s="19"/>
      <c r="B4" s="25"/>
      <c r="C4" s="373" t="s">
        <v>1</v>
      </c>
      <c r="D4" s="374"/>
      <c r="E4" s="374"/>
      <c r="F4" s="374"/>
      <c r="G4" s="374"/>
      <c r="H4" s="374"/>
      <c r="I4" s="374"/>
      <c r="J4" s="374"/>
      <c r="K4" s="374"/>
      <c r="L4" s="374"/>
      <c r="M4" s="374"/>
      <c r="N4" s="374"/>
      <c r="O4" s="374"/>
      <c r="P4" s="374"/>
      <c r="Q4" s="374"/>
      <c r="R4" s="374"/>
      <c r="S4" s="374"/>
      <c r="T4" s="374"/>
      <c r="U4" s="374"/>
      <c r="V4" s="374"/>
      <c r="W4" s="374"/>
      <c r="X4" s="374"/>
      <c r="Y4" s="375"/>
      <c r="Z4" s="26"/>
      <c r="AA4" s="24"/>
    </row>
    <row r="5" spans="1:27" x14ac:dyDescent="0.35">
      <c r="A5" s="19"/>
      <c r="B5" s="25"/>
      <c r="C5" s="376"/>
      <c r="D5" s="377"/>
      <c r="E5" s="377"/>
      <c r="F5" s="377"/>
      <c r="G5" s="377"/>
      <c r="H5" s="377"/>
      <c r="I5" s="377"/>
      <c r="J5" s="377"/>
      <c r="K5" s="377"/>
      <c r="L5" s="377"/>
      <c r="M5" s="377"/>
      <c r="N5" s="377"/>
      <c r="O5" s="377"/>
      <c r="P5" s="377"/>
      <c r="Q5" s="377"/>
      <c r="R5" s="377"/>
      <c r="S5" s="377"/>
      <c r="T5" s="377"/>
      <c r="U5" s="377"/>
      <c r="V5" s="377"/>
      <c r="W5" s="377"/>
      <c r="X5" s="377"/>
      <c r="Y5" s="378"/>
      <c r="Z5" s="26"/>
      <c r="AA5" s="24"/>
    </row>
    <row r="6" spans="1:27" x14ac:dyDescent="0.35">
      <c r="A6" s="19"/>
      <c r="B6" s="25"/>
      <c r="C6" s="27"/>
      <c r="D6" s="27"/>
      <c r="E6" s="27"/>
      <c r="F6" s="27"/>
      <c r="G6" s="27"/>
      <c r="H6" s="27"/>
      <c r="I6" s="27"/>
      <c r="J6" s="27"/>
      <c r="K6" s="27"/>
      <c r="L6" s="27"/>
      <c r="M6" s="27"/>
      <c r="N6" s="27"/>
      <c r="O6" s="27"/>
      <c r="P6" s="28"/>
      <c r="Q6" s="28"/>
      <c r="R6" s="28"/>
      <c r="S6" s="28"/>
      <c r="T6" s="28"/>
      <c r="U6" s="28"/>
      <c r="V6" s="28"/>
      <c r="W6" s="28"/>
      <c r="X6" s="28"/>
      <c r="Y6" s="27"/>
      <c r="Z6" s="26"/>
      <c r="AA6" s="24"/>
    </row>
    <row r="7" spans="1:27" x14ac:dyDescent="0.35">
      <c r="A7" s="19"/>
      <c r="B7" s="29"/>
      <c r="C7" s="30" t="s">
        <v>2</v>
      </c>
      <c r="D7" s="31"/>
      <c r="E7" s="31"/>
      <c r="F7" s="31"/>
      <c r="G7" s="31"/>
      <c r="H7" s="31"/>
      <c r="I7" s="31"/>
      <c r="J7" s="31"/>
      <c r="K7" s="31"/>
      <c r="L7" s="31"/>
      <c r="M7" s="31"/>
      <c r="N7" s="31"/>
      <c r="O7" s="31"/>
      <c r="P7" s="32"/>
      <c r="Q7" s="32"/>
      <c r="R7" s="32"/>
      <c r="S7" s="32"/>
      <c r="T7" s="32"/>
      <c r="U7" s="32"/>
      <c r="V7" s="32"/>
      <c r="W7" s="32"/>
      <c r="X7" s="32"/>
      <c r="Y7" s="33"/>
      <c r="Z7" s="34"/>
      <c r="AA7" s="24"/>
    </row>
    <row r="8" spans="1:27" ht="26.15" customHeight="1" x14ac:dyDescent="0.35">
      <c r="A8" s="19"/>
      <c r="B8" s="29"/>
      <c r="C8" s="379" t="s">
        <v>16</v>
      </c>
      <c r="D8" s="380"/>
      <c r="E8" s="380"/>
      <c r="F8" s="380"/>
      <c r="G8" s="380"/>
      <c r="H8" s="380"/>
      <c r="I8" s="380"/>
      <c r="J8" s="380"/>
      <c r="K8" s="380"/>
      <c r="L8" s="380"/>
      <c r="M8" s="380"/>
      <c r="N8" s="380"/>
      <c r="O8" s="380"/>
      <c r="P8" s="380"/>
      <c r="Q8" s="380"/>
      <c r="R8" s="380"/>
      <c r="S8" s="380"/>
      <c r="T8" s="380"/>
      <c r="U8" s="380"/>
      <c r="V8" s="380"/>
      <c r="W8" s="380"/>
      <c r="X8" s="35"/>
      <c r="Y8" s="36"/>
      <c r="Z8" s="34"/>
      <c r="AA8" s="24"/>
    </row>
    <row r="9" spans="1:27" ht="26.15" customHeight="1" x14ac:dyDescent="0.35">
      <c r="A9" s="19"/>
      <c r="B9" s="29"/>
      <c r="C9" s="381"/>
      <c r="D9" s="362"/>
      <c r="E9" s="362"/>
      <c r="F9" s="362"/>
      <c r="G9" s="362"/>
      <c r="H9" s="362"/>
      <c r="I9" s="362"/>
      <c r="J9" s="362"/>
      <c r="K9" s="362"/>
      <c r="L9" s="362"/>
      <c r="M9" s="362"/>
      <c r="N9" s="362"/>
      <c r="O9" s="362"/>
      <c r="P9" s="362"/>
      <c r="Q9" s="362"/>
      <c r="R9" s="362"/>
      <c r="S9" s="362"/>
      <c r="T9" s="362"/>
      <c r="U9" s="362"/>
      <c r="V9" s="362"/>
      <c r="W9" s="362"/>
      <c r="X9" s="37"/>
      <c r="Y9" s="38"/>
      <c r="Z9" s="34"/>
      <c r="AA9" s="24"/>
    </row>
    <row r="10" spans="1:27" ht="22.5" customHeight="1" x14ac:dyDescent="0.35">
      <c r="A10" s="19"/>
      <c r="B10" s="29"/>
      <c r="C10" s="382"/>
      <c r="D10" s="383"/>
      <c r="E10" s="383"/>
      <c r="F10" s="383"/>
      <c r="G10" s="383"/>
      <c r="H10" s="383"/>
      <c r="I10" s="383"/>
      <c r="J10" s="383"/>
      <c r="K10" s="383"/>
      <c r="L10" s="383"/>
      <c r="M10" s="383"/>
      <c r="N10" s="383"/>
      <c r="O10" s="383"/>
      <c r="P10" s="383"/>
      <c r="Q10" s="383"/>
      <c r="R10" s="383"/>
      <c r="S10" s="383"/>
      <c r="T10" s="383"/>
      <c r="U10" s="383"/>
      <c r="V10" s="383"/>
      <c r="W10" s="383"/>
      <c r="X10" s="39"/>
      <c r="Y10" s="40"/>
      <c r="Z10" s="34"/>
      <c r="AA10" s="24"/>
    </row>
    <row r="11" spans="1:27" x14ac:dyDescent="0.35">
      <c r="A11" s="19"/>
      <c r="B11" s="29"/>
      <c r="C11" s="7"/>
      <c r="D11" s="7"/>
      <c r="E11" s="7"/>
      <c r="F11" s="7"/>
      <c r="G11" s="7"/>
      <c r="H11" s="7"/>
      <c r="I11" s="7"/>
      <c r="J11" s="7"/>
      <c r="K11" s="7"/>
      <c r="L11" s="7"/>
      <c r="M11" s="7"/>
      <c r="N11" s="7"/>
      <c r="O11" s="7"/>
      <c r="P11" s="41"/>
      <c r="Q11" s="41"/>
      <c r="R11" s="41"/>
      <c r="S11" s="41"/>
      <c r="T11" s="41"/>
      <c r="U11" s="41"/>
      <c r="V11" s="41"/>
      <c r="W11" s="41"/>
      <c r="X11" s="41"/>
      <c r="Y11" s="7"/>
      <c r="Z11" s="34"/>
      <c r="AA11" s="24"/>
    </row>
    <row r="12" spans="1:27" x14ac:dyDescent="0.35">
      <c r="A12" s="19"/>
      <c r="B12" s="29"/>
      <c r="C12" s="42" t="s">
        <v>17</v>
      </c>
      <c r="D12" s="43"/>
      <c r="E12" s="44"/>
      <c r="F12" s="44"/>
      <c r="G12" s="44"/>
      <c r="H12" s="44"/>
      <c r="I12" s="44"/>
      <c r="J12" s="44"/>
      <c r="K12" s="44"/>
      <c r="L12" s="45"/>
      <c r="M12" s="45"/>
      <c r="N12" s="46"/>
      <c r="O12" s="47" t="s">
        <v>18</v>
      </c>
      <c r="P12" s="48"/>
      <c r="Q12" s="48"/>
      <c r="R12" s="48"/>
      <c r="S12" s="48"/>
      <c r="T12" s="48"/>
      <c r="U12" s="48"/>
      <c r="V12" s="48"/>
      <c r="W12" s="48"/>
      <c r="X12" s="48"/>
      <c r="Y12" s="49"/>
      <c r="Z12" s="34"/>
      <c r="AA12" s="24"/>
    </row>
    <row r="13" spans="1:27" x14ac:dyDescent="0.35">
      <c r="A13" s="19"/>
      <c r="B13" s="29"/>
      <c r="C13" s="50"/>
      <c r="D13" s="51"/>
      <c r="E13" s="52"/>
      <c r="F13" s="52"/>
      <c r="G13" s="52"/>
      <c r="H13" s="52"/>
      <c r="I13" s="52"/>
      <c r="J13" s="52"/>
      <c r="K13" s="52"/>
      <c r="L13" s="53"/>
      <c r="M13" s="53"/>
      <c r="N13" s="46"/>
      <c r="O13" s="54"/>
      <c r="P13" s="55"/>
      <c r="Q13" s="55"/>
      <c r="R13" s="55"/>
      <c r="S13" s="55"/>
      <c r="T13" s="55"/>
      <c r="U13" s="55"/>
      <c r="V13" s="55"/>
      <c r="W13" s="55"/>
      <c r="X13" s="55"/>
      <c r="Y13" s="56"/>
      <c r="Z13" s="34"/>
      <c r="AA13" s="24"/>
    </row>
    <row r="14" spans="1:27" ht="14.9" customHeight="1" x14ac:dyDescent="0.35">
      <c r="A14" s="19"/>
      <c r="B14" s="29"/>
      <c r="C14" s="57"/>
      <c r="D14" s="58"/>
      <c r="E14" s="384" t="s">
        <v>19</v>
      </c>
      <c r="F14" s="385"/>
      <c r="G14" s="385"/>
      <c r="H14" s="385"/>
      <c r="I14" s="385"/>
      <c r="J14" s="385"/>
      <c r="K14" s="386"/>
      <c r="L14" s="58"/>
      <c r="M14" s="19"/>
      <c r="N14" s="46"/>
      <c r="O14" s="59"/>
      <c r="P14" s="390" t="s">
        <v>20</v>
      </c>
      <c r="Q14" s="390"/>
      <c r="R14" s="390"/>
      <c r="S14" s="390"/>
      <c r="T14" s="390"/>
      <c r="U14" s="390"/>
      <c r="V14" s="390"/>
      <c r="W14" s="390"/>
      <c r="X14" s="390"/>
      <c r="Y14" s="60"/>
      <c r="Z14" s="34"/>
      <c r="AA14" s="24"/>
    </row>
    <row r="15" spans="1:27" x14ac:dyDescent="0.35">
      <c r="A15" s="19"/>
      <c r="B15" s="29"/>
      <c r="C15" s="57"/>
      <c r="D15" s="61"/>
      <c r="E15" s="387"/>
      <c r="F15" s="388"/>
      <c r="G15" s="388"/>
      <c r="H15" s="388"/>
      <c r="I15" s="388"/>
      <c r="J15" s="388"/>
      <c r="K15" s="389"/>
      <c r="L15" s="62"/>
      <c r="M15" s="63"/>
      <c r="N15" s="46"/>
      <c r="O15" s="64"/>
      <c r="P15" s="390"/>
      <c r="Q15" s="390"/>
      <c r="R15" s="390"/>
      <c r="S15" s="390"/>
      <c r="T15" s="390"/>
      <c r="U15" s="390"/>
      <c r="V15" s="390"/>
      <c r="W15" s="390"/>
      <c r="X15" s="390"/>
      <c r="Y15" s="60"/>
      <c r="Z15" s="34"/>
      <c r="AA15" s="24"/>
    </row>
    <row r="16" spans="1:27" x14ac:dyDescent="0.35">
      <c r="A16" s="19"/>
      <c r="B16" s="29"/>
      <c r="C16" s="57"/>
      <c r="D16" s="65"/>
      <c r="E16" s="17"/>
      <c r="F16" s="17"/>
      <c r="G16" s="17"/>
      <c r="H16" s="17"/>
      <c r="I16" s="17"/>
      <c r="J16" s="17"/>
      <c r="K16" s="17"/>
      <c r="L16" s="63"/>
      <c r="M16" s="63"/>
      <c r="N16" s="46"/>
      <c r="O16" s="64"/>
      <c r="P16" s="66"/>
      <c r="Q16" s="66"/>
      <c r="R16" s="66"/>
      <c r="S16" s="66"/>
      <c r="T16" s="66"/>
      <c r="U16" s="66"/>
      <c r="V16" s="66"/>
      <c r="W16" s="66"/>
      <c r="X16" s="66"/>
      <c r="Y16" s="67"/>
      <c r="Z16" s="34"/>
      <c r="AA16" s="24"/>
    </row>
    <row r="17" spans="1:52" ht="14.9" customHeight="1" x14ac:dyDescent="0.35">
      <c r="A17" s="19"/>
      <c r="B17" s="29"/>
      <c r="C17" s="68"/>
      <c r="D17" s="391" t="s">
        <v>21</v>
      </c>
      <c r="E17" s="392"/>
      <c r="F17" s="392"/>
      <c r="G17" s="392"/>
      <c r="H17" s="392"/>
      <c r="I17" s="392"/>
      <c r="J17" s="392"/>
      <c r="K17" s="392"/>
      <c r="L17" s="393"/>
      <c r="M17" s="1"/>
      <c r="N17" s="46"/>
      <c r="O17" s="69"/>
      <c r="P17" s="394" t="s">
        <v>22</v>
      </c>
      <c r="Q17" s="395"/>
      <c r="R17" s="395"/>
      <c r="S17" s="395"/>
      <c r="T17" s="395"/>
      <c r="U17" s="395"/>
      <c r="V17" s="395"/>
      <c r="W17" s="395"/>
      <c r="X17" s="396"/>
      <c r="Y17" s="60"/>
      <c r="Z17" s="34"/>
      <c r="AA17" s="24"/>
    </row>
    <row r="18" spans="1:52" ht="14.9" customHeight="1" thickBot="1" x14ac:dyDescent="0.4">
      <c r="A18" s="19"/>
      <c r="B18" s="29"/>
      <c r="C18" s="68"/>
      <c r="D18" s="70"/>
      <c r="E18" s="71"/>
      <c r="F18" s="71"/>
      <c r="G18" s="71"/>
      <c r="H18" s="72"/>
      <c r="I18" s="72"/>
      <c r="J18" s="72"/>
      <c r="K18" s="72"/>
      <c r="L18" s="73"/>
      <c r="M18" s="74"/>
      <c r="N18" s="46"/>
      <c r="O18" s="75"/>
      <c r="P18" s="397" t="s">
        <v>23</v>
      </c>
      <c r="Q18" s="399" t="s">
        <v>24</v>
      </c>
      <c r="R18" s="399" t="s">
        <v>25</v>
      </c>
      <c r="S18" s="399" t="s">
        <v>26</v>
      </c>
      <c r="T18" s="399" t="s">
        <v>27</v>
      </c>
      <c r="U18" s="399" t="s">
        <v>28</v>
      </c>
      <c r="V18" s="399" t="s">
        <v>29</v>
      </c>
      <c r="W18" s="399" t="s">
        <v>30</v>
      </c>
      <c r="X18" s="399" t="s">
        <v>31</v>
      </c>
      <c r="Y18" s="60"/>
      <c r="Z18" s="34"/>
      <c r="AA18" s="24"/>
    </row>
    <row r="19" spans="1:52" ht="30" customHeight="1" thickBot="1" x14ac:dyDescent="0.4">
      <c r="A19" s="19"/>
      <c r="B19" s="29"/>
      <c r="C19" s="68"/>
      <c r="D19" s="70"/>
      <c r="E19" s="359" t="s">
        <v>32</v>
      </c>
      <c r="F19" s="360"/>
      <c r="G19" s="360"/>
      <c r="H19" s="360"/>
      <c r="I19" s="360"/>
      <c r="J19" s="361"/>
      <c r="K19" s="340"/>
      <c r="L19" s="73"/>
      <c r="M19" s="74"/>
      <c r="N19" s="46"/>
      <c r="O19" s="75"/>
      <c r="P19" s="398"/>
      <c r="Q19" s="400"/>
      <c r="R19" s="400"/>
      <c r="S19" s="400"/>
      <c r="T19" s="400"/>
      <c r="U19" s="400"/>
      <c r="V19" s="400"/>
      <c r="W19" s="400"/>
      <c r="X19" s="400"/>
      <c r="Y19" s="60"/>
      <c r="Z19" s="34"/>
      <c r="AA19" s="24"/>
    </row>
    <row r="20" spans="1:52" ht="14.9" customHeight="1" x14ac:dyDescent="0.35">
      <c r="A20" s="19"/>
      <c r="B20" s="29"/>
      <c r="C20" s="68"/>
      <c r="D20" s="70"/>
      <c r="E20" s="76"/>
      <c r="F20" s="77"/>
      <c r="G20" s="71"/>
      <c r="H20" s="72"/>
      <c r="I20" s="72"/>
      <c r="J20" s="72"/>
      <c r="K20" s="72"/>
      <c r="L20" s="73"/>
      <c r="M20" s="59"/>
      <c r="N20" s="46"/>
      <c r="O20" s="60"/>
      <c r="P20" s="78" t="s">
        <v>33</v>
      </c>
      <c r="Q20" s="79">
        <v>617</v>
      </c>
      <c r="R20" s="79">
        <v>171</v>
      </c>
      <c r="S20" s="79">
        <v>98</v>
      </c>
      <c r="T20" s="79">
        <v>59</v>
      </c>
      <c r="U20" s="79">
        <v>50</v>
      </c>
      <c r="V20" s="79">
        <v>47</v>
      </c>
      <c r="W20" s="79">
        <v>34</v>
      </c>
      <c r="X20" s="79">
        <v>21</v>
      </c>
      <c r="Y20" s="60"/>
      <c r="Z20" s="34"/>
      <c r="AA20" s="24"/>
    </row>
    <row r="21" spans="1:52" x14ac:dyDescent="0.35">
      <c r="A21" s="19"/>
      <c r="B21" s="29"/>
      <c r="C21" s="68"/>
      <c r="D21" s="80"/>
      <c r="E21" s="362" t="s">
        <v>34</v>
      </c>
      <c r="F21" s="362"/>
      <c r="G21" s="71"/>
      <c r="H21" s="72"/>
      <c r="I21" s="72"/>
      <c r="J21" s="72"/>
      <c r="K21" s="72"/>
      <c r="L21" s="73"/>
      <c r="M21" s="59"/>
      <c r="N21" s="46"/>
      <c r="O21" s="59"/>
      <c r="P21" s="81"/>
      <c r="Q21" s="82"/>
      <c r="R21" s="82"/>
      <c r="S21" s="82"/>
      <c r="T21" s="82"/>
      <c r="U21" s="82"/>
      <c r="V21" s="82"/>
      <c r="W21" s="82"/>
      <c r="X21" s="82"/>
      <c r="Y21" s="60"/>
      <c r="Z21" s="34"/>
      <c r="AA21" s="24"/>
    </row>
    <row r="22" spans="1:52" ht="14.9" customHeight="1" x14ac:dyDescent="0.35">
      <c r="A22" s="19"/>
      <c r="B22" s="29"/>
      <c r="C22" s="68"/>
      <c r="D22" s="83"/>
      <c r="E22" s="76"/>
      <c r="F22" s="77"/>
      <c r="G22" s="71"/>
      <c r="H22" s="72"/>
      <c r="I22" s="72"/>
      <c r="J22" s="72"/>
      <c r="K22" s="72"/>
      <c r="L22" s="73"/>
      <c r="M22" s="59"/>
      <c r="N22" s="46"/>
      <c r="O22" s="59"/>
      <c r="P22" s="84" t="s">
        <v>35</v>
      </c>
      <c r="Q22" s="85"/>
      <c r="R22" s="85"/>
      <c r="S22" s="85"/>
      <c r="T22" s="85"/>
      <c r="U22" s="85"/>
      <c r="V22" s="85"/>
      <c r="W22" s="85"/>
      <c r="X22" s="85"/>
      <c r="Y22" s="60"/>
      <c r="Z22" s="34"/>
      <c r="AA22" s="24"/>
    </row>
    <row r="23" spans="1:52" x14ac:dyDescent="0.35">
      <c r="A23" s="19"/>
      <c r="B23" s="29"/>
      <c r="C23" s="68"/>
      <c r="D23" s="86"/>
      <c r="E23" s="358" t="s">
        <v>36</v>
      </c>
      <c r="F23" s="358"/>
      <c r="G23" s="87"/>
      <c r="H23" s="72"/>
      <c r="I23" s="72"/>
      <c r="J23" s="72"/>
      <c r="K23" s="72"/>
      <c r="L23" s="73"/>
      <c r="M23" s="59"/>
      <c r="N23" s="46"/>
      <c r="O23" s="59"/>
      <c r="P23" s="364" t="s">
        <v>37</v>
      </c>
      <c r="Q23" s="364"/>
      <c r="R23" s="364"/>
      <c r="S23" s="364"/>
      <c r="T23" s="364"/>
      <c r="U23" s="364"/>
      <c r="V23" s="364"/>
      <c r="W23" s="364"/>
      <c r="X23" s="365"/>
      <c r="Y23" s="60"/>
      <c r="Z23" s="34"/>
      <c r="AA23" s="24"/>
    </row>
    <row r="24" spans="1:52" x14ac:dyDescent="0.35">
      <c r="A24" s="19"/>
      <c r="B24" s="29"/>
      <c r="C24" s="68"/>
      <c r="D24" s="88"/>
      <c r="E24" s="339"/>
      <c r="F24" s="77"/>
      <c r="G24" s="90"/>
      <c r="H24" s="72"/>
      <c r="I24" s="72"/>
      <c r="J24" s="72"/>
      <c r="K24" s="72"/>
      <c r="L24" s="73"/>
      <c r="M24" s="59"/>
      <c r="N24" s="46"/>
      <c r="O24" s="59"/>
      <c r="P24" s="364"/>
      <c r="Q24" s="364"/>
      <c r="R24" s="364"/>
      <c r="S24" s="364"/>
      <c r="T24" s="364"/>
      <c r="U24" s="364"/>
      <c r="V24" s="364"/>
      <c r="W24" s="364"/>
      <c r="X24" s="365"/>
      <c r="Y24" s="60"/>
      <c r="Z24" s="34"/>
      <c r="AA24" s="24"/>
      <c r="AB24" s="362"/>
      <c r="AC24" s="362"/>
    </row>
    <row r="25" spans="1:52" ht="14.9" customHeight="1" x14ac:dyDescent="0.35">
      <c r="A25" s="19"/>
      <c r="B25" s="29"/>
      <c r="C25" s="68"/>
      <c r="D25" s="91"/>
      <c r="E25" s="363" t="s">
        <v>38</v>
      </c>
      <c r="F25" s="363"/>
      <c r="G25" s="90"/>
      <c r="H25" s="72"/>
      <c r="I25" s="72"/>
      <c r="J25" s="72"/>
      <c r="K25" s="72"/>
      <c r="L25" s="73"/>
      <c r="M25" s="59"/>
      <c r="N25" s="46"/>
      <c r="O25" s="59"/>
      <c r="P25" s="364"/>
      <c r="Q25" s="364"/>
      <c r="R25" s="364"/>
      <c r="S25" s="364"/>
      <c r="T25" s="364"/>
      <c r="U25" s="364"/>
      <c r="V25" s="364"/>
      <c r="W25" s="364"/>
      <c r="X25" s="365"/>
      <c r="Y25" s="60"/>
      <c r="Z25" s="34"/>
      <c r="AA25" s="24"/>
      <c r="AB25" s="76"/>
      <c r="AC25" s="77"/>
      <c r="AZ25" s="16" t="s">
        <v>39</v>
      </c>
    </row>
    <row r="26" spans="1:52" x14ac:dyDescent="0.35">
      <c r="A26" s="19"/>
      <c r="B26" s="29"/>
      <c r="C26" s="68"/>
      <c r="D26" s="88"/>
      <c r="E26" s="339"/>
      <c r="F26" s="89"/>
      <c r="G26" s="90"/>
      <c r="H26" s="72"/>
      <c r="I26" s="72"/>
      <c r="J26" s="72"/>
      <c r="K26" s="72"/>
      <c r="L26" s="73"/>
      <c r="M26" s="59"/>
      <c r="N26" s="46"/>
      <c r="O26" s="59"/>
      <c r="P26" s="364"/>
      <c r="Q26" s="364"/>
      <c r="R26" s="364"/>
      <c r="S26" s="364"/>
      <c r="T26" s="364"/>
      <c r="U26" s="364"/>
      <c r="V26" s="364"/>
      <c r="W26" s="364"/>
      <c r="X26" s="365"/>
      <c r="Y26" s="60"/>
      <c r="Z26" s="34"/>
      <c r="AA26" s="24"/>
      <c r="AB26" s="358"/>
      <c r="AC26" s="358"/>
    </row>
    <row r="27" spans="1:52" ht="12" customHeight="1" x14ac:dyDescent="0.35">
      <c r="A27" s="19"/>
      <c r="B27" s="29"/>
      <c r="C27" s="68"/>
      <c r="D27" s="92"/>
      <c r="E27" s="363" t="s">
        <v>40</v>
      </c>
      <c r="F27" s="363"/>
      <c r="G27" s="93"/>
      <c r="H27" s="72"/>
      <c r="I27" s="72"/>
      <c r="J27" s="72"/>
      <c r="K27" s="72"/>
      <c r="L27" s="73"/>
      <c r="M27" s="59"/>
      <c r="N27" s="46"/>
      <c r="O27" s="59"/>
      <c r="P27" s="364"/>
      <c r="Q27" s="364"/>
      <c r="R27" s="364"/>
      <c r="S27" s="364"/>
      <c r="T27" s="364"/>
      <c r="U27" s="364"/>
      <c r="V27" s="364"/>
      <c r="W27" s="364"/>
      <c r="X27" s="365"/>
      <c r="Y27" s="60"/>
      <c r="Z27" s="34"/>
      <c r="AA27" s="24"/>
      <c r="AB27" s="339"/>
      <c r="AC27" s="77"/>
    </row>
    <row r="28" spans="1:52" ht="14.15" customHeight="1" x14ac:dyDescent="0.35">
      <c r="A28" s="19"/>
      <c r="B28" s="29"/>
      <c r="C28" s="68"/>
      <c r="D28" s="70"/>
      <c r="E28" s="339"/>
      <c r="F28" s="89"/>
      <c r="G28" s="93"/>
      <c r="H28" s="72"/>
      <c r="I28" s="72"/>
      <c r="J28" s="72"/>
      <c r="K28" s="72"/>
      <c r="L28" s="73"/>
      <c r="M28" s="59"/>
      <c r="N28" s="46"/>
      <c r="O28" s="59"/>
      <c r="P28" s="95"/>
      <c r="Q28" s="96"/>
      <c r="R28" s="366" t="s">
        <v>41</v>
      </c>
      <c r="S28" s="367"/>
      <c r="T28" s="95"/>
      <c r="U28" s="96"/>
      <c r="V28" s="96"/>
      <c r="W28" s="96"/>
      <c r="X28" s="96"/>
      <c r="Y28" s="60"/>
      <c r="Z28" s="34"/>
      <c r="AA28" s="24"/>
      <c r="AB28" s="363"/>
      <c r="AC28" s="363"/>
    </row>
    <row r="29" spans="1:52" x14ac:dyDescent="0.35">
      <c r="A29" s="19"/>
      <c r="B29" s="29"/>
      <c r="C29" s="68"/>
      <c r="D29" s="92"/>
      <c r="E29" s="358" t="s">
        <v>42</v>
      </c>
      <c r="F29" s="358"/>
      <c r="G29" s="97"/>
      <c r="H29" s="72"/>
      <c r="I29" s="72"/>
      <c r="J29" s="72"/>
      <c r="K29" s="72"/>
      <c r="L29" s="73"/>
      <c r="M29" s="59"/>
      <c r="N29" s="46"/>
      <c r="O29" s="59"/>
      <c r="P29" s="368" t="s">
        <v>43</v>
      </c>
      <c r="Q29" s="369"/>
      <c r="R29" s="401" t="s">
        <v>44</v>
      </c>
      <c r="S29" s="402"/>
      <c r="T29" s="95"/>
      <c r="U29" s="96"/>
      <c r="V29" s="98"/>
      <c r="W29" s="96"/>
      <c r="X29" s="96"/>
      <c r="Y29" s="60"/>
      <c r="Z29" s="34"/>
      <c r="AA29" s="24"/>
      <c r="AB29" s="339"/>
      <c r="AC29" s="89"/>
    </row>
    <row r="30" spans="1:52" ht="14.9" customHeight="1" x14ac:dyDescent="0.35">
      <c r="A30" s="19"/>
      <c r="B30" s="29"/>
      <c r="C30" s="68"/>
      <c r="D30" s="99"/>
      <c r="E30" s="76"/>
      <c r="F30" s="94"/>
      <c r="G30" s="97"/>
      <c r="H30" s="72"/>
      <c r="I30" s="72"/>
      <c r="J30" s="72"/>
      <c r="K30" s="72"/>
      <c r="L30" s="73"/>
      <c r="M30" s="59"/>
      <c r="N30" s="46"/>
      <c r="O30" s="59"/>
      <c r="P30" s="368" t="s">
        <v>45</v>
      </c>
      <c r="Q30" s="369"/>
      <c r="R30" s="401" t="s">
        <v>46</v>
      </c>
      <c r="S30" s="402"/>
      <c r="T30" s="95"/>
      <c r="U30" s="98"/>
      <c r="V30" s="100"/>
      <c r="W30" s="96"/>
      <c r="X30" s="96"/>
      <c r="Y30" s="60"/>
      <c r="Z30" s="34"/>
      <c r="AA30" s="24"/>
      <c r="AB30" s="363"/>
      <c r="AC30" s="363"/>
    </row>
    <row r="31" spans="1:52" x14ac:dyDescent="0.35">
      <c r="A31" s="19"/>
      <c r="B31" s="29"/>
      <c r="C31" s="68"/>
      <c r="D31" s="99"/>
      <c r="E31" s="358" t="s">
        <v>32</v>
      </c>
      <c r="F31" s="358"/>
      <c r="G31" s="97"/>
      <c r="H31" s="72"/>
      <c r="I31" s="72"/>
      <c r="J31" s="72"/>
      <c r="K31" s="72"/>
      <c r="L31" s="73"/>
      <c r="M31" s="59"/>
      <c r="N31" s="46"/>
      <c r="O31" s="59"/>
      <c r="P31" s="368" t="s">
        <v>47</v>
      </c>
      <c r="Q31" s="369"/>
      <c r="R31" s="401" t="s">
        <v>48</v>
      </c>
      <c r="S31" s="402"/>
      <c r="T31" s="101"/>
      <c r="U31" s="102"/>
      <c r="V31" s="18"/>
      <c r="W31" s="18"/>
      <c r="X31" s="18"/>
      <c r="Y31" s="60"/>
      <c r="Z31" s="34"/>
      <c r="AA31" s="24"/>
      <c r="AB31" s="339"/>
      <c r="AC31" s="89"/>
    </row>
    <row r="32" spans="1:52" x14ac:dyDescent="0.35">
      <c r="A32" s="19"/>
      <c r="B32" s="29"/>
      <c r="C32" s="68"/>
      <c r="D32" s="99"/>
      <c r="E32" s="72"/>
      <c r="F32" s="72"/>
      <c r="G32" s="72"/>
      <c r="H32" s="72"/>
      <c r="I32" s="72"/>
      <c r="J32" s="72"/>
      <c r="K32" s="72"/>
      <c r="L32" s="73"/>
      <c r="M32" s="59"/>
      <c r="N32" s="46"/>
      <c r="O32" s="59"/>
      <c r="P32" s="368" t="s">
        <v>49</v>
      </c>
      <c r="Q32" s="369"/>
      <c r="R32" s="401" t="s">
        <v>50</v>
      </c>
      <c r="S32" s="402"/>
      <c r="T32" s="95"/>
      <c r="U32" s="96"/>
      <c r="V32" s="96"/>
      <c r="W32" s="96"/>
      <c r="X32" s="96"/>
      <c r="Y32" s="60"/>
      <c r="Z32" s="34"/>
      <c r="AA32" s="24"/>
      <c r="AB32" s="358"/>
      <c r="AC32" s="358"/>
    </row>
    <row r="33" spans="1:29" ht="18.5" x14ac:dyDescent="0.35">
      <c r="A33" s="19"/>
      <c r="B33" s="29"/>
      <c r="C33" s="68"/>
      <c r="D33" s="99"/>
      <c r="E33" s="72"/>
      <c r="F33" s="72"/>
      <c r="G33" s="72"/>
      <c r="H33" s="72"/>
      <c r="I33" s="72"/>
      <c r="J33" s="72"/>
      <c r="K33" s="72"/>
      <c r="L33" s="73"/>
      <c r="M33" s="64"/>
      <c r="N33" s="46"/>
      <c r="O33" s="64"/>
      <c r="P33" s="368" t="s">
        <v>51</v>
      </c>
      <c r="Q33" s="369"/>
      <c r="R33" s="401" t="s">
        <v>52</v>
      </c>
      <c r="S33" s="402"/>
      <c r="T33" s="103"/>
      <c r="U33" s="103"/>
      <c r="V33" s="103"/>
      <c r="W33" s="103"/>
      <c r="X33" s="103"/>
      <c r="Y33" s="60"/>
      <c r="Z33" s="34"/>
      <c r="AA33" s="24"/>
      <c r="AB33" s="76"/>
      <c r="AC33" s="94"/>
    </row>
    <row r="34" spans="1:29" x14ac:dyDescent="0.35">
      <c r="A34" s="19"/>
      <c r="B34" s="29"/>
      <c r="C34" s="68"/>
      <c r="D34" s="104"/>
      <c r="E34" s="105"/>
      <c r="F34" s="106"/>
      <c r="G34" s="107"/>
      <c r="H34" s="108"/>
      <c r="I34" s="108"/>
      <c r="J34" s="108"/>
      <c r="K34" s="108"/>
      <c r="L34" s="109"/>
      <c r="M34" s="74"/>
      <c r="N34" s="46"/>
      <c r="O34" s="74"/>
      <c r="P34" s="110"/>
      <c r="Q34" s="110"/>
      <c r="R34" s="110"/>
      <c r="S34" s="110"/>
      <c r="T34" s="110"/>
      <c r="U34" s="110"/>
      <c r="V34" s="110"/>
      <c r="W34" s="110"/>
      <c r="X34" s="110"/>
      <c r="Y34" s="67"/>
      <c r="Z34" s="34"/>
      <c r="AA34" s="24"/>
      <c r="AB34" s="358"/>
      <c r="AC34" s="358"/>
    </row>
    <row r="35" spans="1:29" x14ac:dyDescent="0.35">
      <c r="A35" s="19"/>
      <c r="B35" s="29"/>
      <c r="C35" s="68"/>
      <c r="D35" s="72"/>
      <c r="E35" s="72"/>
      <c r="F35" s="72"/>
      <c r="G35" s="72"/>
      <c r="H35" s="72"/>
      <c r="I35" s="72"/>
      <c r="J35" s="72"/>
      <c r="K35" s="72"/>
      <c r="L35" s="72"/>
      <c r="M35" s="74"/>
      <c r="N35" s="46"/>
      <c r="O35" s="74"/>
      <c r="P35" s="110"/>
      <c r="Q35" s="110"/>
      <c r="R35" s="110"/>
      <c r="S35" s="110"/>
      <c r="T35" s="110"/>
      <c r="U35" s="110"/>
      <c r="V35" s="110"/>
      <c r="W35" s="110"/>
      <c r="X35" s="110"/>
      <c r="Y35" s="67"/>
      <c r="Z35" s="34"/>
      <c r="AA35" s="24"/>
    </row>
    <row r="36" spans="1:29" x14ac:dyDescent="0.35">
      <c r="A36" s="19"/>
      <c r="B36" s="29"/>
      <c r="C36" s="111"/>
      <c r="D36" s="112"/>
      <c r="E36" s="113"/>
      <c r="F36" s="113"/>
      <c r="G36" s="113"/>
      <c r="H36" s="113"/>
      <c r="I36" s="113"/>
      <c r="J36" s="113"/>
      <c r="K36" s="113"/>
      <c r="L36" s="114"/>
      <c r="M36" s="115"/>
      <c r="N36" s="46"/>
      <c r="O36" s="116"/>
      <c r="P36" s="117"/>
      <c r="Q36" s="117"/>
      <c r="R36" s="117"/>
      <c r="S36" s="117"/>
      <c r="T36" s="117"/>
      <c r="U36" s="117"/>
      <c r="V36" s="117"/>
      <c r="W36" s="117"/>
      <c r="X36" s="117"/>
      <c r="Y36" s="118"/>
      <c r="Z36" s="34"/>
      <c r="AA36" s="24"/>
    </row>
    <row r="37" spans="1:29" x14ac:dyDescent="0.35">
      <c r="A37" s="19"/>
      <c r="B37" s="119"/>
      <c r="C37" s="7"/>
      <c r="D37" s="7"/>
      <c r="E37" s="7"/>
      <c r="F37" s="7"/>
      <c r="G37" s="7"/>
      <c r="H37" s="7"/>
      <c r="I37" s="7"/>
      <c r="J37" s="7"/>
      <c r="K37" s="7"/>
      <c r="L37" s="7"/>
      <c r="M37" s="7"/>
      <c r="N37" s="120"/>
      <c r="O37" s="7"/>
      <c r="P37" s="41"/>
      <c r="Q37" s="41"/>
      <c r="R37" s="41"/>
      <c r="S37" s="41"/>
      <c r="T37" s="41"/>
      <c r="U37" s="41"/>
      <c r="V37" s="41"/>
      <c r="W37" s="41"/>
      <c r="X37" s="41"/>
      <c r="Y37" s="7"/>
      <c r="Z37" s="121"/>
      <c r="AA37" s="24"/>
    </row>
    <row r="38" spans="1:29" x14ac:dyDescent="0.35">
      <c r="A38" s="19"/>
      <c r="B38" s="119"/>
      <c r="C38" s="7"/>
      <c r="D38" s="7"/>
      <c r="E38" s="7"/>
      <c r="F38" s="7"/>
      <c r="G38" s="7"/>
      <c r="H38" s="7"/>
      <c r="I38" s="7"/>
      <c r="J38" s="7"/>
      <c r="K38" s="7"/>
      <c r="L38" s="7"/>
      <c r="M38" s="7"/>
      <c r="N38" s="120"/>
      <c r="O38" s="7"/>
      <c r="P38" s="41"/>
      <c r="Q38" s="41"/>
      <c r="R38" s="41"/>
      <c r="S38" s="41"/>
      <c r="T38" s="41"/>
      <c r="U38" s="41"/>
      <c r="V38" s="41"/>
      <c r="W38" s="41"/>
      <c r="X38" s="41"/>
      <c r="Y38" s="7"/>
      <c r="Z38" s="121"/>
      <c r="AA38" s="24"/>
    </row>
    <row r="39" spans="1:29" x14ac:dyDescent="0.35">
      <c r="A39" s="19"/>
      <c r="B39" s="119"/>
      <c r="C39" s="7"/>
      <c r="D39" s="7"/>
      <c r="E39" s="7"/>
      <c r="F39" s="7"/>
      <c r="G39" s="7"/>
      <c r="H39" s="7"/>
      <c r="I39" s="7"/>
      <c r="J39" s="7"/>
      <c r="K39" s="7"/>
      <c r="L39" s="7"/>
      <c r="M39" s="7"/>
      <c r="N39" s="120"/>
      <c r="O39" s="7"/>
      <c r="P39" s="41"/>
      <c r="Q39" s="41"/>
      <c r="R39" s="41"/>
      <c r="S39" s="41"/>
      <c r="T39" s="41"/>
      <c r="U39" s="41"/>
      <c r="V39" s="41"/>
      <c r="W39" s="41"/>
      <c r="X39" s="41"/>
      <c r="Y39" s="7"/>
      <c r="Z39" s="121"/>
      <c r="AA39" s="24"/>
    </row>
    <row r="40" spans="1:29" ht="8.15" customHeight="1" thickBot="1" x14ac:dyDescent="0.4">
      <c r="A40" s="19"/>
      <c r="B40" s="122"/>
      <c r="C40" s="123"/>
      <c r="D40" s="123"/>
      <c r="E40" s="123"/>
      <c r="F40" s="123"/>
      <c r="G40" s="123"/>
      <c r="H40" s="123"/>
      <c r="I40" s="123"/>
      <c r="J40" s="123"/>
      <c r="K40" s="123"/>
      <c r="L40" s="123"/>
      <c r="M40" s="123"/>
      <c r="N40" s="124"/>
      <c r="O40" s="123"/>
      <c r="P40" s="125"/>
      <c r="Q40" s="125"/>
      <c r="R40" s="125"/>
      <c r="S40" s="125"/>
      <c r="T40" s="125"/>
      <c r="U40" s="125"/>
      <c r="V40" s="125"/>
      <c r="W40" s="125"/>
      <c r="X40" s="125"/>
      <c r="Y40" s="123"/>
      <c r="Z40" s="126"/>
      <c r="AA40" s="24"/>
    </row>
    <row r="41" spans="1:29" x14ac:dyDescent="0.35">
      <c r="B41" s="127"/>
      <c r="C41" s="127"/>
      <c r="D41" s="127"/>
      <c r="E41" s="127"/>
      <c r="F41" s="127"/>
      <c r="G41" s="127"/>
      <c r="H41" s="127"/>
      <c r="I41" s="127"/>
      <c r="J41" s="127"/>
      <c r="K41" s="127"/>
      <c r="L41" s="127"/>
      <c r="M41" s="127"/>
      <c r="N41" s="127"/>
      <c r="O41" s="127"/>
      <c r="P41" s="128"/>
      <c r="Q41" s="128"/>
      <c r="R41" s="128"/>
      <c r="S41" s="128"/>
      <c r="T41" s="128"/>
      <c r="U41" s="128"/>
      <c r="V41" s="128"/>
      <c r="W41" s="128"/>
      <c r="X41" s="128"/>
      <c r="Y41" s="127"/>
      <c r="Z41" s="127"/>
    </row>
    <row r="45" spans="1:29" x14ac:dyDescent="0.35">
      <c r="P45" s="16"/>
    </row>
  </sheetData>
  <sheetProtection formatColumns="0" formatRows="0" autoFilter="0"/>
  <mergeCells count="42">
    <mergeCell ref="P32:Q32"/>
    <mergeCell ref="R32:S32"/>
    <mergeCell ref="P33:Q33"/>
    <mergeCell ref="R33:S33"/>
    <mergeCell ref="R29:S29"/>
    <mergeCell ref="P30:Q30"/>
    <mergeCell ref="R30:S30"/>
    <mergeCell ref="P31:Q31"/>
    <mergeCell ref="R31:S31"/>
    <mergeCell ref="D17:L17"/>
    <mergeCell ref="P17:X17"/>
    <mergeCell ref="P18:P19"/>
    <mergeCell ref="Q18:Q19"/>
    <mergeCell ref="R18:R19"/>
    <mergeCell ref="S18:S19"/>
    <mergeCell ref="T18:T19"/>
    <mergeCell ref="U18:U19"/>
    <mergeCell ref="V18:V19"/>
    <mergeCell ref="W18:W19"/>
    <mergeCell ref="X18:X19"/>
    <mergeCell ref="C3:Y3"/>
    <mergeCell ref="C4:Y4"/>
    <mergeCell ref="C5:Y5"/>
    <mergeCell ref="C8:W10"/>
    <mergeCell ref="E14:K15"/>
    <mergeCell ref="P14:X15"/>
    <mergeCell ref="AB34:AC34"/>
    <mergeCell ref="E31:F31"/>
    <mergeCell ref="E19:J19"/>
    <mergeCell ref="AB24:AC24"/>
    <mergeCell ref="AB26:AC26"/>
    <mergeCell ref="AB28:AC28"/>
    <mergeCell ref="AB30:AC30"/>
    <mergeCell ref="AB32:AC32"/>
    <mergeCell ref="E21:F21"/>
    <mergeCell ref="E23:F23"/>
    <mergeCell ref="P23:X27"/>
    <mergeCell ref="E25:F25"/>
    <mergeCell ref="E27:F27"/>
    <mergeCell ref="R28:S28"/>
    <mergeCell ref="E29:F29"/>
    <mergeCell ref="P29:Q29"/>
  </mergeCells>
  <dataValidations count="3">
    <dataValidation type="whole" showInputMessage="1" showErrorMessage="1" sqref="J28:J29" xr:uid="{9F32B12B-E7AF-4DFC-8BE4-C85129857078}">
      <formula1>1</formula1>
      <formula2>10000</formula2>
    </dataValidation>
    <dataValidation type="whole" operator="greaterThan" allowBlank="1" showInputMessage="1" showErrorMessage="1" sqref="J20" xr:uid="{741C1DFF-280C-450B-86B5-1D0AE82EB29A}">
      <formula1>0</formula1>
    </dataValidation>
    <dataValidation type="list" allowBlank="1" showInputMessage="1" showErrorMessage="1" sqref="G32:G33 D32:E33 E19" xr:uid="{3B9BC219-CDCD-49D2-80F8-BB0B5263E1D5}">
      <formula1>"Self Assessment, Rapid Assessment, Target Assessment, Target Assessment Deep Dive, Transformative Assessment, Transformative Assessment Deep Dive"</formula1>
    </dataValidation>
  </dataValidations>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49" r:id="rId4" name="CommandButton1">
          <controlPr defaultSize="0" autoLine="0" r:id="rId5">
            <anchor>
              <from>
                <xdr:col>9</xdr:col>
                <xdr:colOff>927100</xdr:colOff>
                <xdr:row>37</xdr:row>
                <xdr:rowOff>165100</xdr:rowOff>
              </from>
              <to>
                <xdr:col>15</xdr:col>
                <xdr:colOff>501650</xdr:colOff>
                <xdr:row>40</xdr:row>
                <xdr:rowOff>127000</xdr:rowOff>
              </to>
            </anchor>
          </controlPr>
        </control>
      </mc:Choice>
      <mc:Fallback>
        <control shapeId="2049" r:id="rId4" name="CommandButton1"/>
      </mc:Fallback>
    </mc:AlternateContent>
    <mc:AlternateContent xmlns:mc="http://schemas.openxmlformats.org/markup-compatibility/2006">
      <mc:Choice Requires="x14">
        <control shapeId="2050" r:id="rId6" name="cmd_Considerations">
          <controlPr defaultSize="0" autoLine="0" autoPict="0" r:id="rId7">
            <anchor moveWithCells="1">
              <from>
                <xdr:col>22</xdr:col>
                <xdr:colOff>444500</xdr:colOff>
                <xdr:row>7</xdr:row>
                <xdr:rowOff>107950</xdr:rowOff>
              </from>
              <to>
                <xdr:col>24</xdr:col>
                <xdr:colOff>76200</xdr:colOff>
                <xdr:row>9</xdr:row>
                <xdr:rowOff>215900</xdr:rowOff>
              </to>
            </anchor>
          </controlPr>
        </control>
      </mc:Choice>
      <mc:Fallback>
        <control shapeId="2050" r:id="rId6" name="cmd_Considerations"/>
      </mc:Fallback>
    </mc:AlternateContent>
    <mc:AlternateContent xmlns:mc="http://schemas.openxmlformats.org/markup-compatibility/2006">
      <mc:Choice Requires="x14">
        <control shapeId="2051" r:id="rId8" name="CommandButton2">
          <controlPr defaultSize="0" autoLine="0" r:id="rId9">
            <anchor>
              <from>
                <xdr:col>7</xdr:col>
                <xdr:colOff>38100</xdr:colOff>
                <xdr:row>23</xdr:row>
                <xdr:rowOff>107950</xdr:rowOff>
              </from>
              <to>
                <xdr:col>7</xdr:col>
                <xdr:colOff>368300</xdr:colOff>
                <xdr:row>25</xdr:row>
                <xdr:rowOff>69850</xdr:rowOff>
              </to>
            </anchor>
          </controlPr>
        </control>
      </mc:Choice>
      <mc:Fallback>
        <control shapeId="2051" r:id="rId8" name="CommandButton2"/>
      </mc:Fallback>
    </mc:AlternateContent>
    <mc:AlternateContent xmlns:mc="http://schemas.openxmlformats.org/markup-compatibility/2006">
      <mc:Choice Requires="x14">
        <control shapeId="2052" r:id="rId10" name="CommandButton3">
          <controlPr defaultSize="0" autoLine="0" r:id="rId11">
            <anchor>
              <from>
                <xdr:col>7</xdr:col>
                <xdr:colOff>38100</xdr:colOff>
                <xdr:row>25</xdr:row>
                <xdr:rowOff>101600</xdr:rowOff>
              </from>
              <to>
                <xdr:col>7</xdr:col>
                <xdr:colOff>361950</xdr:colOff>
                <xdr:row>27</xdr:row>
                <xdr:rowOff>88900</xdr:rowOff>
              </to>
            </anchor>
          </controlPr>
        </control>
      </mc:Choice>
      <mc:Fallback>
        <control shapeId="2052" r:id="rId10" name="CommandButton3"/>
      </mc:Fallback>
    </mc:AlternateContent>
    <mc:AlternateContent xmlns:mc="http://schemas.openxmlformats.org/markup-compatibility/2006">
      <mc:Choice Requires="x14">
        <control shapeId="2053" r:id="rId12" name="CommandButton4">
          <controlPr defaultSize="0" autoLine="0" r:id="rId13">
            <anchor>
              <from>
                <xdr:col>7</xdr:col>
                <xdr:colOff>25400</xdr:colOff>
                <xdr:row>27</xdr:row>
                <xdr:rowOff>133350</xdr:rowOff>
              </from>
              <to>
                <xdr:col>7</xdr:col>
                <xdr:colOff>355600</xdr:colOff>
                <xdr:row>29</xdr:row>
                <xdr:rowOff>95250</xdr:rowOff>
              </to>
            </anchor>
          </controlPr>
        </control>
      </mc:Choice>
      <mc:Fallback>
        <control shapeId="2053" r:id="rId12" name="CommandButton4"/>
      </mc:Fallback>
    </mc:AlternateContent>
    <mc:AlternateContent xmlns:mc="http://schemas.openxmlformats.org/markup-compatibility/2006">
      <mc:Choice Requires="x14">
        <control shapeId="2054" r:id="rId14" name="CommandButton5">
          <controlPr defaultSize="0" autoLine="0" r:id="rId15">
            <anchor>
              <from>
                <xdr:col>7</xdr:col>
                <xdr:colOff>19050</xdr:colOff>
                <xdr:row>29</xdr:row>
                <xdr:rowOff>127000</xdr:rowOff>
              </from>
              <to>
                <xdr:col>7</xdr:col>
                <xdr:colOff>349250</xdr:colOff>
                <xdr:row>31</xdr:row>
                <xdr:rowOff>76200</xdr:rowOff>
              </to>
            </anchor>
          </controlPr>
        </control>
      </mc:Choice>
      <mc:Fallback>
        <control shapeId="2054" r:id="rId14" name="CommandButton5"/>
      </mc:Fallback>
    </mc:AlternateContent>
    <mc:AlternateContent xmlns:mc="http://schemas.openxmlformats.org/markup-compatibility/2006">
      <mc:Choice Requires="x14">
        <control shapeId="2055" r:id="rId16" name="CommandButton6">
          <controlPr defaultSize="0" autoLine="0" r:id="rId17">
            <anchor>
              <from>
                <xdr:col>7</xdr:col>
                <xdr:colOff>50800</xdr:colOff>
                <xdr:row>19</xdr:row>
                <xdr:rowOff>139700</xdr:rowOff>
              </from>
              <to>
                <xdr:col>7</xdr:col>
                <xdr:colOff>381000</xdr:colOff>
                <xdr:row>21</xdr:row>
                <xdr:rowOff>76200</xdr:rowOff>
              </to>
            </anchor>
          </controlPr>
        </control>
      </mc:Choice>
      <mc:Fallback>
        <control shapeId="2055" r:id="rId16" name="CommandButton6"/>
      </mc:Fallback>
    </mc:AlternateContent>
    <mc:AlternateContent xmlns:mc="http://schemas.openxmlformats.org/markup-compatibility/2006">
      <mc:Choice Requires="x14">
        <control shapeId="2056" r:id="rId18" name="CommandButton7">
          <controlPr defaultSize="0" autoLine="0" r:id="rId19">
            <anchor>
              <from>
                <xdr:col>7</xdr:col>
                <xdr:colOff>50800</xdr:colOff>
                <xdr:row>21</xdr:row>
                <xdr:rowOff>114300</xdr:rowOff>
              </from>
              <to>
                <xdr:col>7</xdr:col>
                <xdr:colOff>381000</xdr:colOff>
                <xdr:row>23</xdr:row>
                <xdr:rowOff>63500</xdr:rowOff>
              </to>
            </anchor>
          </controlPr>
        </control>
      </mc:Choice>
      <mc:Fallback>
        <control shapeId="2056" r:id="rId18" name="CommandButton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2B090-4372-4311-8948-C69605D02AB8}">
  <sheetPr codeName="Sheet6">
    <pageSetUpPr autoPageBreaks="0"/>
  </sheetPr>
  <dimension ref="A1:ET45"/>
  <sheetViews>
    <sheetView topLeftCell="A25" zoomScale="90" zoomScaleNormal="96" workbookViewId="0">
      <pane xSplit="5" topLeftCell="F1" activePane="topRight" state="frozen"/>
      <selection activeCell="M15" sqref="M15"/>
      <selection pane="topRight" activeCell="L29" sqref="L29"/>
    </sheetView>
  </sheetViews>
  <sheetFormatPr defaultColWidth="8.81640625" defaultRowHeight="15.65" customHeight="1" x14ac:dyDescent="0.35"/>
  <cols>
    <col min="1" max="1" width="1.453125" style="130" customWidth="1"/>
    <col min="2" max="3" width="2.453125" style="130" customWidth="1"/>
    <col min="4" max="4" width="62.81640625" style="130" customWidth="1"/>
    <col min="5" max="5" width="9.1796875" style="130" customWidth="1"/>
    <col min="6" max="6" width="12.1796875" style="130" customWidth="1"/>
    <col min="7" max="7" width="11.453125" style="130" customWidth="1"/>
    <col min="8" max="8" width="8.81640625" style="130" customWidth="1"/>
    <col min="9" max="9" width="10.453125" style="130" customWidth="1"/>
    <col min="10" max="17" width="8.81640625" style="130" customWidth="1"/>
    <col min="18" max="147" width="8.81640625" style="130" hidden="1" customWidth="1"/>
    <col min="148" max="148" width="2.453125" style="130" hidden="1" customWidth="1"/>
    <col min="149" max="149" width="2.453125" style="130" customWidth="1"/>
    <col min="150" max="16384" width="8.81640625" style="130"/>
  </cols>
  <sheetData>
    <row r="1" spans="1:150" ht="15.65" customHeight="1" thickBot="1" x14ac:dyDescent="0.4">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c r="BJ1" s="131"/>
      <c r="BK1" s="131"/>
      <c r="BL1" s="131"/>
      <c r="BM1" s="131"/>
      <c r="BN1" s="131"/>
      <c r="BO1" s="131"/>
      <c r="BP1" s="131"/>
      <c r="BQ1" s="131"/>
      <c r="BR1" s="131"/>
      <c r="BS1" s="131"/>
      <c r="BT1" s="131"/>
      <c r="BU1" s="131"/>
      <c r="BV1" s="131"/>
      <c r="BW1" s="131"/>
      <c r="BX1" s="131"/>
      <c r="BY1" s="131"/>
      <c r="BZ1" s="131"/>
      <c r="CA1" s="131"/>
      <c r="CB1" s="131"/>
      <c r="CC1" s="131"/>
      <c r="CD1" s="131"/>
      <c r="CE1" s="131"/>
      <c r="CF1" s="131"/>
      <c r="CG1" s="131"/>
      <c r="CH1" s="131"/>
      <c r="CI1" s="131"/>
      <c r="CJ1" s="131"/>
      <c r="CK1" s="131"/>
      <c r="CL1" s="131"/>
      <c r="CM1" s="131"/>
      <c r="CN1" s="131"/>
      <c r="CO1" s="131"/>
      <c r="CP1" s="131"/>
      <c r="CQ1" s="131"/>
      <c r="CR1" s="131"/>
      <c r="CS1" s="131"/>
      <c r="CT1" s="131"/>
      <c r="CU1" s="131"/>
      <c r="CV1" s="131"/>
      <c r="CW1" s="131"/>
      <c r="CX1" s="131"/>
      <c r="CY1" s="131"/>
      <c r="CZ1" s="131"/>
      <c r="DA1" s="131"/>
      <c r="DB1" s="131"/>
      <c r="DC1" s="131"/>
      <c r="DD1" s="131"/>
      <c r="DE1" s="131"/>
      <c r="DF1" s="131"/>
      <c r="DG1" s="131"/>
      <c r="DH1" s="131"/>
      <c r="DI1" s="131"/>
      <c r="DJ1" s="131"/>
      <c r="DK1" s="131"/>
      <c r="DL1" s="131"/>
      <c r="DM1" s="131"/>
      <c r="DN1" s="131"/>
      <c r="DO1" s="131"/>
      <c r="DP1" s="131"/>
      <c r="DQ1" s="131"/>
      <c r="DR1" s="131"/>
      <c r="DS1" s="131"/>
      <c r="DT1" s="131"/>
      <c r="DU1" s="131"/>
      <c r="DV1" s="131"/>
      <c r="DW1" s="131"/>
      <c r="DX1" s="131"/>
      <c r="DY1" s="131"/>
      <c r="DZ1" s="131"/>
      <c r="EA1" s="131"/>
      <c r="EB1" s="131"/>
      <c r="EC1" s="131"/>
      <c r="ED1" s="131"/>
      <c r="EE1" s="131"/>
      <c r="EF1" s="131"/>
      <c r="EG1" s="131"/>
      <c r="EH1" s="131"/>
      <c r="EI1" s="131"/>
      <c r="EJ1" s="131"/>
      <c r="EK1" s="131"/>
      <c r="EL1" s="131"/>
      <c r="EM1" s="131"/>
      <c r="EN1" s="131"/>
      <c r="EO1" s="131"/>
      <c r="EP1" s="131"/>
      <c r="EQ1" s="131"/>
      <c r="ER1" s="131"/>
      <c r="ES1" s="131"/>
    </row>
    <row r="2" spans="1:150" ht="15.65" customHeight="1" thickBot="1" x14ac:dyDescent="0.4">
      <c r="A2" s="132"/>
      <c r="B2" s="133"/>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5"/>
      <c r="ET2" s="136"/>
    </row>
    <row r="3" spans="1:150" ht="15.65" customHeight="1" thickBot="1" x14ac:dyDescent="0.4">
      <c r="A3" s="132"/>
      <c r="B3" s="137"/>
      <c r="C3" s="138" t="s">
        <v>2</v>
      </c>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9"/>
      <c r="ES3" s="139"/>
      <c r="ET3" s="136"/>
    </row>
    <row r="4" spans="1:150" ht="15.65" customHeight="1" thickBot="1" x14ac:dyDescent="0.4">
      <c r="A4" s="132"/>
      <c r="B4" s="137"/>
      <c r="C4" s="140" t="s">
        <v>53</v>
      </c>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c r="CR4" s="52"/>
      <c r="CS4" s="52"/>
      <c r="CT4" s="52"/>
      <c r="CU4" s="52"/>
      <c r="CV4" s="52"/>
      <c r="CW4" s="52"/>
      <c r="CX4" s="52"/>
      <c r="CY4" s="52"/>
      <c r="CZ4" s="52"/>
      <c r="DA4" s="52"/>
      <c r="DB4" s="52"/>
      <c r="DC4" s="52"/>
      <c r="DD4" s="52"/>
      <c r="DE4" s="52"/>
      <c r="DF4" s="52"/>
      <c r="DG4" s="52"/>
      <c r="DH4" s="52"/>
      <c r="DI4" s="52"/>
      <c r="DJ4" s="52"/>
      <c r="DK4" s="52"/>
      <c r="DL4" s="52"/>
      <c r="DM4" s="52"/>
      <c r="DN4" s="52"/>
      <c r="DO4" s="52"/>
      <c r="DP4" s="52"/>
      <c r="DQ4" s="52"/>
      <c r="DR4" s="52"/>
      <c r="DS4" s="52"/>
      <c r="DT4" s="52"/>
      <c r="DU4" s="52"/>
      <c r="DV4" s="52"/>
      <c r="DW4" s="52"/>
      <c r="DX4" s="52"/>
      <c r="DY4" s="52"/>
      <c r="DZ4" s="52"/>
      <c r="EA4" s="52"/>
      <c r="EB4" s="52"/>
      <c r="EC4" s="52"/>
      <c r="ED4" s="52"/>
      <c r="EE4" s="52"/>
      <c r="EF4" s="52"/>
      <c r="EG4" s="52"/>
      <c r="EH4" s="52"/>
      <c r="EI4" s="52"/>
      <c r="EJ4" s="52"/>
      <c r="EK4" s="52"/>
      <c r="EL4" s="52"/>
      <c r="EM4" s="52"/>
      <c r="EN4" s="52"/>
      <c r="EO4" s="52"/>
      <c r="EP4" s="52"/>
      <c r="EQ4" s="52"/>
      <c r="ER4" s="56"/>
      <c r="ES4" s="139"/>
      <c r="ET4" s="136"/>
    </row>
    <row r="5" spans="1:150" ht="15.65" customHeight="1" thickBot="1" x14ac:dyDescent="0.4">
      <c r="A5" s="132"/>
      <c r="B5" s="141"/>
      <c r="C5" s="142" t="s">
        <v>54</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67"/>
      <c r="ES5" s="143"/>
      <c r="ET5" s="136"/>
    </row>
    <row r="6" spans="1:150" ht="15.65" customHeight="1" thickBot="1" x14ac:dyDescent="0.4">
      <c r="A6" s="132"/>
      <c r="B6" s="144"/>
      <c r="C6" s="145" t="s">
        <v>55</v>
      </c>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46"/>
      <c r="ES6" s="147"/>
      <c r="ET6" s="136"/>
    </row>
    <row r="7" spans="1:150" ht="15.65" customHeight="1" x14ac:dyDescent="0.35">
      <c r="A7" s="132"/>
      <c r="B7" s="148"/>
      <c r="C7" s="149"/>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0"/>
      <c r="DL7" s="150"/>
      <c r="DM7" s="150"/>
      <c r="DN7" s="150"/>
      <c r="DO7" s="150"/>
      <c r="DP7" s="150"/>
      <c r="DQ7" s="150"/>
      <c r="DR7" s="150"/>
      <c r="DS7" s="150"/>
      <c r="DT7" s="150"/>
      <c r="DU7" s="150"/>
      <c r="DV7" s="150"/>
      <c r="DW7" s="150"/>
      <c r="DX7" s="150"/>
      <c r="DY7" s="150"/>
      <c r="DZ7" s="150"/>
      <c r="EA7" s="150"/>
      <c r="EB7" s="150"/>
      <c r="EC7" s="150"/>
      <c r="ED7" s="150"/>
      <c r="EE7" s="150"/>
      <c r="EF7" s="150"/>
      <c r="EG7" s="150"/>
      <c r="EH7" s="150"/>
      <c r="EI7" s="150"/>
      <c r="EJ7" s="150"/>
      <c r="EK7" s="150"/>
      <c r="EL7" s="150"/>
      <c r="EM7" s="150"/>
      <c r="EN7" s="150"/>
      <c r="EO7" s="150"/>
      <c r="EP7" s="150"/>
      <c r="EQ7" s="150"/>
      <c r="ER7" s="118"/>
      <c r="ES7" s="147"/>
      <c r="ET7" s="136"/>
    </row>
    <row r="8" spans="1:150" ht="15.65" customHeight="1" x14ac:dyDescent="0.35">
      <c r="A8" s="132"/>
      <c r="B8" s="151"/>
      <c r="C8" s="403" t="s">
        <v>56</v>
      </c>
      <c r="D8" s="404"/>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2"/>
      <c r="CO8" s="152"/>
      <c r="CP8" s="152"/>
      <c r="CQ8" s="152"/>
      <c r="CR8" s="152"/>
      <c r="CS8" s="152"/>
      <c r="CT8" s="152"/>
      <c r="CU8" s="152"/>
      <c r="CV8" s="152"/>
      <c r="CW8" s="152"/>
      <c r="CX8" s="152"/>
      <c r="CY8" s="152"/>
      <c r="CZ8" s="152"/>
      <c r="DA8" s="152"/>
      <c r="DB8" s="152"/>
      <c r="DC8" s="152"/>
      <c r="DD8" s="152"/>
      <c r="DE8" s="152"/>
      <c r="DF8" s="152"/>
      <c r="DG8" s="152"/>
      <c r="DH8" s="152"/>
      <c r="DI8" s="152"/>
      <c r="DJ8" s="152"/>
      <c r="DK8" s="152"/>
      <c r="DL8" s="152"/>
      <c r="DM8" s="152"/>
      <c r="DN8" s="152"/>
      <c r="DO8" s="152"/>
      <c r="DP8" s="152"/>
      <c r="DQ8" s="152"/>
      <c r="DR8" s="152"/>
      <c r="DS8" s="152"/>
      <c r="DT8" s="152"/>
      <c r="DU8" s="152"/>
      <c r="DV8" s="152"/>
      <c r="DW8" s="152"/>
      <c r="DX8" s="152"/>
      <c r="DY8" s="152"/>
      <c r="DZ8" s="152"/>
      <c r="EA8" s="152"/>
      <c r="EB8" s="152"/>
      <c r="EC8" s="152"/>
      <c r="ED8" s="152"/>
      <c r="EE8" s="152"/>
      <c r="EF8" s="152"/>
      <c r="EG8" s="152"/>
      <c r="EH8" s="152"/>
      <c r="EI8" s="152"/>
      <c r="EJ8" s="152"/>
      <c r="EK8" s="152"/>
      <c r="EL8" s="152"/>
      <c r="EM8" s="152"/>
      <c r="EN8" s="152"/>
      <c r="EO8" s="152"/>
      <c r="EP8" s="152"/>
      <c r="EQ8" s="152"/>
      <c r="ER8" s="152"/>
      <c r="ES8" s="153"/>
      <c r="ET8" s="136"/>
    </row>
    <row r="9" spans="1:150" ht="15.65" customHeight="1" x14ac:dyDescent="0.35">
      <c r="A9" s="132"/>
      <c r="B9" s="151"/>
      <c r="C9" s="405"/>
      <c r="D9" s="406"/>
      <c r="E9" s="154"/>
      <c r="F9" s="154"/>
      <c r="G9" s="155"/>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6"/>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3"/>
      <c r="ET9" s="136"/>
    </row>
    <row r="10" spans="1:150" ht="15.65" customHeight="1" thickBot="1" x14ac:dyDescent="0.4">
      <c r="A10" s="132"/>
      <c r="B10" s="25"/>
      <c r="C10" s="15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158"/>
      <c r="EN10" s="27"/>
      <c r="EO10" s="27"/>
      <c r="EP10" s="27"/>
      <c r="EQ10" s="27"/>
      <c r="ER10" s="27"/>
      <c r="ES10" s="153"/>
      <c r="ET10" s="136"/>
    </row>
    <row r="11" spans="1:150" ht="15.65" customHeight="1" x14ac:dyDescent="0.35">
      <c r="A11" s="132"/>
      <c r="B11" s="119"/>
      <c r="C11" s="7"/>
      <c r="D11" s="7"/>
      <c r="E11" s="7"/>
      <c r="F11" s="7"/>
      <c r="G11" s="7"/>
      <c r="H11" s="7"/>
      <c r="I11" s="7"/>
      <c r="J11" s="7"/>
      <c r="K11" s="7"/>
      <c r="L11" s="7"/>
      <c r="M11" s="7"/>
      <c r="N11" s="7"/>
      <c r="O11" s="7"/>
      <c r="P11" s="7"/>
      <c r="Q11" s="7"/>
      <c r="R11" s="4"/>
      <c r="S11" s="159"/>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c r="BS11" s="160"/>
      <c r="BT11" s="160"/>
      <c r="BU11" s="160"/>
      <c r="BV11" s="160"/>
      <c r="BW11" s="160"/>
      <c r="BX11" s="160"/>
      <c r="BY11" s="160"/>
      <c r="BZ11" s="160"/>
      <c r="CA11" s="160"/>
      <c r="CB11" s="160"/>
      <c r="CC11" s="160"/>
      <c r="CD11" s="160"/>
      <c r="CE11" s="160"/>
      <c r="CF11" s="160"/>
      <c r="CG11" s="160"/>
      <c r="CH11" s="160"/>
      <c r="CI11" s="160"/>
      <c r="CJ11" s="160"/>
      <c r="CK11" s="160"/>
      <c r="CL11" s="160"/>
      <c r="CM11" s="160"/>
      <c r="CN11" s="160"/>
      <c r="CO11" s="160"/>
      <c r="CP11" s="160"/>
      <c r="CQ11" s="160"/>
      <c r="CR11" s="160"/>
      <c r="CS11" s="160"/>
      <c r="CT11" s="160"/>
      <c r="CU11" s="160"/>
      <c r="CV11" s="160"/>
      <c r="CW11" s="160"/>
      <c r="CX11" s="160"/>
      <c r="CY11" s="160"/>
      <c r="CZ11" s="160"/>
      <c r="DA11" s="160"/>
      <c r="DB11" s="160"/>
      <c r="DC11" s="160"/>
      <c r="DD11" s="160"/>
      <c r="DE11" s="160"/>
      <c r="DF11" s="160"/>
      <c r="DG11" s="160"/>
      <c r="DH11" s="160"/>
      <c r="DI11" s="160"/>
      <c r="DJ11" s="160"/>
      <c r="DK11" s="160"/>
      <c r="DL11" s="160"/>
      <c r="DM11" s="160"/>
      <c r="DN11" s="160"/>
      <c r="DO11" s="160"/>
      <c r="DP11" s="160"/>
      <c r="DQ11" s="160"/>
      <c r="DR11" s="160"/>
      <c r="DS11" s="160"/>
      <c r="DT11" s="160"/>
      <c r="DU11" s="160"/>
      <c r="DV11" s="160"/>
      <c r="DW11" s="160"/>
      <c r="DX11" s="160"/>
      <c r="DY11" s="160"/>
      <c r="DZ11" s="160"/>
      <c r="EA11" s="160"/>
      <c r="EB11" s="160"/>
      <c r="EC11" s="160"/>
      <c r="ED11" s="160"/>
      <c r="EE11" s="160"/>
      <c r="EF11" s="160"/>
      <c r="EG11" s="160"/>
      <c r="EH11" s="160"/>
      <c r="EI11" s="160"/>
      <c r="EJ11" s="160"/>
      <c r="EK11" s="160"/>
      <c r="EL11" s="160"/>
      <c r="EM11" s="160"/>
      <c r="EN11" s="160"/>
      <c r="EO11" s="160"/>
      <c r="EP11" s="160"/>
      <c r="EQ11" s="160"/>
      <c r="ER11" s="160"/>
      <c r="ES11" s="153"/>
      <c r="ET11" s="136"/>
    </row>
    <row r="12" spans="1:150" ht="15.65" customHeight="1" x14ac:dyDescent="0.35">
      <c r="A12" s="132"/>
      <c r="B12" s="119"/>
      <c r="C12" s="138" t="s">
        <v>57</v>
      </c>
      <c r="D12" s="44"/>
      <c r="E12" s="44"/>
      <c r="F12" s="44"/>
      <c r="G12" s="44"/>
      <c r="H12" s="44"/>
      <c r="I12" s="44"/>
      <c r="J12" s="44"/>
      <c r="K12" s="44"/>
      <c r="L12" s="44"/>
      <c r="M12" s="44"/>
      <c r="N12" s="44"/>
      <c r="O12" s="44"/>
      <c r="P12" s="44"/>
      <c r="Q12" s="49"/>
      <c r="R12" s="6"/>
      <c r="S12" s="16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53"/>
      <c r="ET12" s="136"/>
    </row>
    <row r="13" spans="1:150" ht="15.65" customHeight="1" x14ac:dyDescent="0.35">
      <c r="A13" s="132"/>
      <c r="B13" s="119"/>
      <c r="C13" s="162"/>
      <c r="D13" s="1"/>
      <c r="E13" s="1"/>
      <c r="F13" s="1"/>
      <c r="G13" s="1"/>
      <c r="H13" s="1"/>
      <c r="I13" s="1"/>
      <c r="J13" s="1"/>
      <c r="K13" s="1"/>
      <c r="L13" s="1"/>
      <c r="M13" s="1"/>
      <c r="N13" s="1"/>
      <c r="O13" s="1"/>
      <c r="P13" s="1"/>
      <c r="Q13" s="69"/>
      <c r="R13" s="6"/>
      <c r="S13" s="16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53"/>
      <c r="ET13" s="136"/>
    </row>
    <row r="14" spans="1:150" ht="15.65" customHeight="1" x14ac:dyDescent="0.35">
      <c r="A14" s="132"/>
      <c r="B14" s="119"/>
      <c r="C14" s="162"/>
      <c r="D14" s="407" t="s">
        <v>58</v>
      </c>
      <c r="E14" s="408"/>
      <c r="F14" s="394" t="s">
        <v>59</v>
      </c>
      <c r="G14" s="396"/>
      <c r="H14" s="411" t="s">
        <v>60</v>
      </c>
      <c r="I14" s="411"/>
      <c r="J14" s="411"/>
      <c r="K14" s="411"/>
      <c r="L14" s="411"/>
      <c r="M14" s="411"/>
      <c r="N14" s="411"/>
      <c r="O14" s="411"/>
      <c r="P14" s="411"/>
      <c r="Q14" s="69"/>
      <c r="R14" s="6"/>
      <c r="S14" s="16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53"/>
      <c r="ET14" s="136"/>
    </row>
    <row r="15" spans="1:150" ht="47.15" customHeight="1" x14ac:dyDescent="0.35">
      <c r="A15" s="132"/>
      <c r="B15" s="119"/>
      <c r="C15" s="162"/>
      <c r="D15" s="409"/>
      <c r="E15" s="410"/>
      <c r="F15" s="163" t="s">
        <v>61</v>
      </c>
      <c r="G15" s="164" t="s">
        <v>62</v>
      </c>
      <c r="H15" s="165" t="s">
        <v>63</v>
      </c>
      <c r="I15" s="165" t="s">
        <v>64</v>
      </c>
      <c r="J15" s="165" t="s">
        <v>65</v>
      </c>
      <c r="K15" s="165" t="s">
        <v>26</v>
      </c>
      <c r="L15" s="165" t="s">
        <v>27</v>
      </c>
      <c r="M15" s="165" t="s">
        <v>28</v>
      </c>
      <c r="N15" s="165" t="s">
        <v>29</v>
      </c>
      <c r="O15" s="165" t="s">
        <v>30</v>
      </c>
      <c r="P15" s="165" t="s">
        <v>31</v>
      </c>
      <c r="Q15" s="69"/>
      <c r="R15" s="6"/>
      <c r="S15" s="16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53"/>
      <c r="ET15" s="136"/>
    </row>
    <row r="16" spans="1:150" ht="15.65" customHeight="1" x14ac:dyDescent="0.35">
      <c r="A16" s="132"/>
      <c r="B16" s="119"/>
      <c r="C16" s="162"/>
      <c r="D16" s="1"/>
      <c r="E16" s="1"/>
      <c r="F16" s="1"/>
      <c r="G16" s="1"/>
      <c r="H16" s="1"/>
      <c r="I16" s="1"/>
      <c r="J16" s="1"/>
      <c r="K16" s="1"/>
      <c r="L16" s="1"/>
      <c r="M16" s="1"/>
      <c r="N16" s="1"/>
      <c r="O16" s="1"/>
      <c r="P16" s="1"/>
      <c r="Q16" s="69"/>
      <c r="R16" s="6"/>
      <c r="S16" s="16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53"/>
      <c r="ET16" s="136"/>
    </row>
    <row r="17" spans="1:150" ht="15.65" customHeight="1" x14ac:dyDescent="0.35">
      <c r="A17" s="132"/>
      <c r="B17" s="119"/>
      <c r="C17" s="162"/>
      <c r="D17" s="166" t="s">
        <v>66</v>
      </c>
      <c r="E17" s="167"/>
      <c r="F17" s="168">
        <f>SUM(F18:F24)</f>
        <v>18420</v>
      </c>
      <c r="G17" s="323">
        <f t="shared" ref="G17:P17" si="0">SUM(G18:G24)</f>
        <v>128</v>
      </c>
      <c r="H17" s="323">
        <f>SUM(H18:H24)</f>
        <v>12</v>
      </c>
      <c r="I17" s="323">
        <f t="shared" si="0"/>
        <v>4</v>
      </c>
      <c r="J17" s="323">
        <f t="shared" si="0"/>
        <v>28</v>
      </c>
      <c r="K17" s="323">
        <f t="shared" si="0"/>
        <v>42</v>
      </c>
      <c r="L17" s="323">
        <f>SUM(L18:L24)</f>
        <v>0</v>
      </c>
      <c r="M17" s="323">
        <f t="shared" si="0"/>
        <v>0</v>
      </c>
      <c r="N17" s="323">
        <f t="shared" si="0"/>
        <v>0</v>
      </c>
      <c r="O17" s="323">
        <f>SUM(O18:O24)</f>
        <v>42</v>
      </c>
      <c r="P17" s="324">
        <f t="shared" si="0"/>
        <v>0</v>
      </c>
      <c r="Q17" s="69"/>
      <c r="R17" s="6"/>
      <c r="S17" s="16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53"/>
      <c r="ET17" s="136"/>
    </row>
    <row r="18" spans="1:150" ht="15.65" customHeight="1" x14ac:dyDescent="0.35">
      <c r="A18" s="132"/>
      <c r="B18" s="119"/>
      <c r="C18" s="162"/>
      <c r="D18" s="169" t="s">
        <v>67</v>
      </c>
      <c r="E18" s="7"/>
      <c r="F18" s="170">
        <f>H18*'Scope and Scaling Factors'!$Q$20+I18*'Scope and Scaling Factors'!$R$20+J18*'Scope and Scaling Factors'!$R$20+K18*'Scope and Scaling Factors'!$S$20+L18*'Scope and Scaling Factors'!$T$20+M18*'Scope and Scaling Factors'!$U$20+N18*'Scope and Scaling Factors'!$V$20+O18*'Scope and Scaling Factors'!$W$20+P18*'Scope and Scaling Factors'!$X$20</f>
        <v>3327</v>
      </c>
      <c r="G18" s="325">
        <f>SUM(H18:P18)</f>
        <v>19</v>
      </c>
      <c r="H18" s="325">
        <v>3</v>
      </c>
      <c r="I18" s="325"/>
      <c r="J18" s="325">
        <v>4</v>
      </c>
      <c r="K18" s="325">
        <v>6</v>
      </c>
      <c r="L18" s="325"/>
      <c r="M18" s="325"/>
      <c r="N18" s="325"/>
      <c r="O18" s="325">
        <v>6</v>
      </c>
      <c r="P18" s="326"/>
      <c r="Q18" s="69"/>
      <c r="R18" s="6"/>
      <c r="S18" s="16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53"/>
      <c r="ET18" s="136"/>
    </row>
    <row r="19" spans="1:150" ht="15.65" customHeight="1" x14ac:dyDescent="0.35">
      <c r="A19" s="132"/>
      <c r="B19" s="119"/>
      <c r="C19" s="162"/>
      <c r="D19" s="169" t="s">
        <v>68</v>
      </c>
      <c r="E19" s="7"/>
      <c r="F19" s="170">
        <f>H19*'Scope and Scaling Factors'!$Q$20+I19*'Scope and Scaling Factors'!$R$20+J19*'Scope and Scaling Factors'!$R$20+K19*'Scope and Scaling Factors'!$S$20+L19*'Scope and Scaling Factors'!$T$20+M19*'Scope and Scaling Factors'!$U$20+N19*'Scope and Scaling Factors'!$V$20+O19*'Scope and Scaling Factors'!$W$20+P19*'Scope and Scaling Factors'!$X$20</f>
        <v>3327</v>
      </c>
      <c r="G19" s="325">
        <f t="shared" ref="G19:G24" si="1">SUM(H19:P19)</f>
        <v>19</v>
      </c>
      <c r="H19" s="325">
        <v>3</v>
      </c>
      <c r="I19" s="325"/>
      <c r="J19" s="325">
        <v>4</v>
      </c>
      <c r="K19" s="325">
        <v>6</v>
      </c>
      <c r="L19" s="325"/>
      <c r="M19" s="325"/>
      <c r="N19" s="325"/>
      <c r="O19" s="325">
        <v>6</v>
      </c>
      <c r="P19" s="326"/>
      <c r="Q19" s="69"/>
      <c r="R19" s="6"/>
      <c r="S19" s="16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53"/>
      <c r="ET19" s="136"/>
    </row>
    <row r="20" spans="1:150" ht="15.65" customHeight="1" x14ac:dyDescent="0.35">
      <c r="A20" s="132"/>
      <c r="B20" s="172"/>
      <c r="C20" s="162"/>
      <c r="D20" s="169" t="s">
        <v>69</v>
      </c>
      <c r="E20" s="7"/>
      <c r="F20" s="170">
        <f>H20*'Scope and Scaling Factors'!$Q$20+I20*'Scope and Scaling Factors'!$R$20+J20*'Scope and Scaling Factors'!$R$20+K20*'Scope and Scaling Factors'!$S$20+L20*'Scope and Scaling Factors'!$T$20+M20*'Scope and Scaling Factors'!$U$20+N20*'Scope and Scaling Factors'!$V$20+O20*'Scope and Scaling Factors'!$W$20+P20*'Scope and Scaling Factors'!$X$20</f>
        <v>3498</v>
      </c>
      <c r="G20" s="325">
        <f t="shared" si="1"/>
        <v>20</v>
      </c>
      <c r="H20" s="325">
        <v>3</v>
      </c>
      <c r="I20" s="325">
        <v>1</v>
      </c>
      <c r="J20" s="325">
        <v>4</v>
      </c>
      <c r="K20" s="325">
        <v>6</v>
      </c>
      <c r="L20" s="325"/>
      <c r="M20" s="325"/>
      <c r="N20" s="325"/>
      <c r="O20" s="325">
        <v>6</v>
      </c>
      <c r="P20" s="326"/>
      <c r="Q20" s="69"/>
      <c r="R20" s="6"/>
      <c r="S20" s="16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53"/>
      <c r="ET20" s="136"/>
    </row>
    <row r="21" spans="1:150" ht="15.65" customHeight="1" x14ac:dyDescent="0.35">
      <c r="A21" s="132"/>
      <c r="B21" s="172"/>
      <c r="C21" s="162"/>
      <c r="D21" s="169" t="s">
        <v>70</v>
      </c>
      <c r="E21" s="7"/>
      <c r="F21" s="170">
        <f>H21*'Scope and Scaling Factors'!$Q$20+I21*'Scope and Scaling Factors'!$R$20+J21*'Scope and Scaling Factors'!$R$20+K21*'Scope and Scaling Factors'!$S$20+L21*'Scope and Scaling Factors'!$T$20+M21*'Scope and Scaling Factors'!$U$20+N21*'Scope and Scaling Factors'!$V$20+O21*'Scope and Scaling Factors'!$W$20+P21*'Scope and Scaling Factors'!$X$20</f>
        <v>2264</v>
      </c>
      <c r="G21" s="325">
        <f t="shared" si="1"/>
        <v>18</v>
      </c>
      <c r="H21" s="325">
        <v>1</v>
      </c>
      <c r="I21" s="325">
        <v>1</v>
      </c>
      <c r="J21" s="325">
        <v>4</v>
      </c>
      <c r="K21" s="325">
        <v>6</v>
      </c>
      <c r="L21" s="325"/>
      <c r="M21" s="325"/>
      <c r="N21" s="325"/>
      <c r="O21" s="325">
        <v>6</v>
      </c>
      <c r="P21" s="326"/>
      <c r="Q21" s="69"/>
      <c r="R21" s="6"/>
      <c r="S21" s="16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53"/>
      <c r="ET21" s="136"/>
    </row>
    <row r="22" spans="1:150" ht="15.65" customHeight="1" x14ac:dyDescent="0.35">
      <c r="A22" s="132"/>
      <c r="B22" s="172"/>
      <c r="C22" s="162"/>
      <c r="D22" s="169" t="s">
        <v>71</v>
      </c>
      <c r="E22" s="7"/>
      <c r="F22" s="170">
        <f>H22*'Scope and Scaling Factors'!$Q$20+I22*'Scope and Scaling Factors'!$R$20+J22*'Scope and Scaling Factors'!$R$20+K22*'Scope and Scaling Factors'!$S$20+L22*'Scope and Scaling Factors'!$T$20+M22*'Scope and Scaling Factors'!$U$20+N22*'Scope and Scaling Factors'!$V$20+O22*'Scope and Scaling Factors'!$W$20+P22*'Scope and Scaling Factors'!$X$20</f>
        <v>2264</v>
      </c>
      <c r="G22" s="325">
        <f t="shared" si="1"/>
        <v>18</v>
      </c>
      <c r="H22" s="325">
        <v>1</v>
      </c>
      <c r="I22" s="325">
        <v>1</v>
      </c>
      <c r="J22" s="325">
        <v>4</v>
      </c>
      <c r="K22" s="325">
        <v>6</v>
      </c>
      <c r="L22" s="325"/>
      <c r="M22" s="325"/>
      <c r="N22" s="325"/>
      <c r="O22" s="325">
        <v>6</v>
      </c>
      <c r="P22" s="326"/>
      <c r="Q22" s="69"/>
      <c r="R22" s="6"/>
      <c r="S22" s="16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53"/>
      <c r="ET22" s="136"/>
    </row>
    <row r="23" spans="1:150" ht="15.65" customHeight="1" x14ac:dyDescent="0.35">
      <c r="A23" s="132"/>
      <c r="B23" s="172"/>
      <c r="C23" s="162"/>
      <c r="D23" s="169" t="s">
        <v>72</v>
      </c>
      <c r="E23" s="7"/>
      <c r="F23" s="170">
        <f>H23*'Scope and Scaling Factors'!$Q$20+I23*'Scope and Scaling Factors'!$R$20+J23*'Scope and Scaling Factors'!$R$20+K23*'Scope and Scaling Factors'!$S$20+L23*'Scope and Scaling Factors'!$T$20+M23*'Scope and Scaling Factors'!$U$20+N23*'Scope and Scaling Factors'!$V$20+O23*'Scope and Scaling Factors'!$W$20+P23*'Scope and Scaling Factors'!$X$20</f>
        <v>1647</v>
      </c>
      <c r="G23" s="325">
        <f t="shared" si="1"/>
        <v>17</v>
      </c>
      <c r="H23" s="325"/>
      <c r="I23" s="325">
        <v>1</v>
      </c>
      <c r="J23" s="325">
        <v>4</v>
      </c>
      <c r="K23" s="325">
        <v>6</v>
      </c>
      <c r="L23" s="325"/>
      <c r="M23" s="325"/>
      <c r="N23" s="325"/>
      <c r="O23" s="325">
        <v>6</v>
      </c>
      <c r="P23" s="326"/>
      <c r="Q23" s="69"/>
      <c r="R23" s="6"/>
      <c r="S23" s="16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53"/>
      <c r="ET23" s="136"/>
    </row>
    <row r="24" spans="1:150" ht="15.65" customHeight="1" x14ac:dyDescent="0.35">
      <c r="A24" s="132"/>
      <c r="B24" s="172"/>
      <c r="C24" s="162"/>
      <c r="D24" s="173" t="s">
        <v>73</v>
      </c>
      <c r="E24" s="174"/>
      <c r="F24" s="170">
        <f>H24*'Scope and Scaling Factors'!$Q$20+I24*'Scope and Scaling Factors'!$R$20+J24*'Scope and Scaling Factors'!$R$20+K24*'Scope and Scaling Factors'!$S$20+L24*'Scope and Scaling Factors'!$T$20+M24*'Scope and Scaling Factors'!$U$20+N24*'Scope and Scaling Factors'!$V$20+O24*'Scope and Scaling Factors'!$W$20+P24*'Scope and Scaling Factors'!$X$20</f>
        <v>2093</v>
      </c>
      <c r="G24" s="327">
        <f t="shared" si="1"/>
        <v>17</v>
      </c>
      <c r="H24" s="327">
        <v>1</v>
      </c>
      <c r="I24" s="327"/>
      <c r="J24" s="325">
        <v>4</v>
      </c>
      <c r="K24" s="325">
        <v>6</v>
      </c>
      <c r="L24" s="325"/>
      <c r="M24" s="325"/>
      <c r="N24" s="325"/>
      <c r="O24" s="325">
        <v>6</v>
      </c>
      <c r="P24" s="330"/>
      <c r="Q24" s="69"/>
      <c r="R24" s="6"/>
      <c r="S24" s="16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53"/>
      <c r="ET24" s="136"/>
    </row>
    <row r="25" spans="1:150" ht="15.65" customHeight="1" x14ac:dyDescent="0.35">
      <c r="A25" s="132"/>
      <c r="B25" s="119"/>
      <c r="C25" s="162"/>
      <c r="D25" s="177"/>
      <c r="E25" s="1"/>
      <c r="F25" s="336"/>
      <c r="G25" s="328"/>
      <c r="H25" s="328"/>
      <c r="I25" s="328"/>
      <c r="J25" s="329"/>
      <c r="K25" s="329"/>
      <c r="L25" s="329"/>
      <c r="M25" s="329"/>
      <c r="N25" s="329"/>
      <c r="O25" s="329"/>
      <c r="P25" s="328"/>
      <c r="Q25" s="69"/>
      <c r="R25" s="6"/>
      <c r="S25" s="16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53"/>
      <c r="ET25" s="136"/>
    </row>
    <row r="26" spans="1:150" ht="15.65" customHeight="1" x14ac:dyDescent="0.35">
      <c r="A26" s="132"/>
      <c r="B26" s="119"/>
      <c r="C26" s="162"/>
      <c r="D26" s="166" t="s">
        <v>74</v>
      </c>
      <c r="E26" s="167"/>
      <c r="F26" s="168">
        <f t="shared" ref="F26:P26" si="2">SUM(F27:F33)</f>
        <v>11436</v>
      </c>
      <c r="G26" s="323">
        <f t="shared" si="2"/>
        <v>116</v>
      </c>
      <c r="H26" s="323">
        <f t="shared" si="2"/>
        <v>0</v>
      </c>
      <c r="I26" s="323">
        <f t="shared" si="2"/>
        <v>4</v>
      </c>
      <c r="J26" s="323">
        <f t="shared" si="2"/>
        <v>32</v>
      </c>
      <c r="K26" s="323">
        <f t="shared" si="2"/>
        <v>40</v>
      </c>
      <c r="L26" s="323">
        <f t="shared" si="2"/>
        <v>0</v>
      </c>
      <c r="M26" s="323">
        <f t="shared" si="2"/>
        <v>0</v>
      </c>
      <c r="N26" s="323">
        <f t="shared" si="2"/>
        <v>0</v>
      </c>
      <c r="O26" s="323">
        <f t="shared" si="2"/>
        <v>40</v>
      </c>
      <c r="P26" s="324">
        <f t="shared" si="2"/>
        <v>0</v>
      </c>
      <c r="Q26" s="69"/>
      <c r="R26" s="6"/>
      <c r="S26" s="16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53"/>
      <c r="ET26" s="136"/>
    </row>
    <row r="27" spans="1:150" ht="15.65" customHeight="1" x14ac:dyDescent="0.35">
      <c r="A27" s="132"/>
      <c r="B27" s="119"/>
      <c r="C27" s="162"/>
      <c r="D27" s="169" t="s">
        <v>75</v>
      </c>
      <c r="E27" s="7"/>
      <c r="F27" s="170">
        <f>H27*'Scope and Scaling Factors'!$Q$20+I27*'Resource Plan - Self '!$J$32+'Project Plan - Self '!J27*'Scope and Scaling Factors'!$R$20+'Project Plan - Self '!K27*'Scope and Scaling Factors'!$S$20+'Project Plan - Self '!L27*'Scope and Scaling Factors'!$T$20+'Project Plan - Self '!M27*'Scope and Scaling Factors'!$U$20+'Project Plan - Self '!N27*'Scope and Scaling Factors'!$V$20+'Project Plan - Self '!O27*'Scope and Scaling Factors'!$W$20+'Project Plan - Self '!P27*'Scope and Scaling Factors'!$X$20</f>
        <v>1515</v>
      </c>
      <c r="G27" s="325">
        <f>SUM(H27:P27)</f>
        <v>15</v>
      </c>
      <c r="H27" s="325"/>
      <c r="I27" s="325">
        <v>1</v>
      </c>
      <c r="J27" s="325">
        <v>4</v>
      </c>
      <c r="K27" s="325">
        <v>5</v>
      </c>
      <c r="L27" s="325"/>
      <c r="M27" s="325"/>
      <c r="N27" s="325"/>
      <c r="O27" s="325">
        <v>5</v>
      </c>
      <c r="P27" s="326"/>
      <c r="Q27" s="69"/>
      <c r="R27" s="6"/>
      <c r="S27" s="16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53"/>
      <c r="ET27" s="136"/>
    </row>
    <row r="28" spans="1:150" ht="15.65" customHeight="1" x14ac:dyDescent="0.35">
      <c r="A28" s="132"/>
      <c r="B28" s="119"/>
      <c r="C28" s="162"/>
      <c r="D28" s="169" t="s">
        <v>76</v>
      </c>
      <c r="E28" s="7"/>
      <c r="F28" s="170">
        <f>H28*'Scope and Scaling Factors'!$Q$20+I28*'Resource Plan - Self '!$J$32+'Project Plan - Self '!J28*'Scope and Scaling Factors'!$R$20+'Project Plan - Self '!K28*'Scope and Scaling Factors'!$S$20+'Project Plan - Self '!L28*'Scope and Scaling Factors'!$T$20+'Project Plan - Self '!M28*'Scope and Scaling Factors'!$U$20+'Project Plan - Self '!N28*'Scope and Scaling Factors'!$V$20+'Project Plan - Self '!O28*'Scope and Scaling Factors'!$W$20+'Project Plan - Self '!P28*'Scope and Scaling Factors'!$X$20</f>
        <v>1515</v>
      </c>
      <c r="G28" s="325">
        <f t="shared" ref="G28:G33" si="3">SUM(H28:P28)</f>
        <v>15</v>
      </c>
      <c r="H28" s="325"/>
      <c r="I28" s="325">
        <v>1</v>
      </c>
      <c r="J28" s="325">
        <v>4</v>
      </c>
      <c r="K28" s="325">
        <v>5</v>
      </c>
      <c r="L28" s="325"/>
      <c r="M28" s="325"/>
      <c r="N28" s="325"/>
      <c r="O28" s="325">
        <v>5</v>
      </c>
      <c r="P28" s="326"/>
      <c r="Q28" s="69"/>
      <c r="R28" s="6"/>
      <c r="S28" s="16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53"/>
      <c r="ET28" s="136"/>
    </row>
    <row r="29" spans="1:150" ht="15.65" customHeight="1" x14ac:dyDescent="0.35">
      <c r="A29" s="132"/>
      <c r="B29" s="119"/>
      <c r="C29" s="162"/>
      <c r="D29" s="169" t="s">
        <v>77</v>
      </c>
      <c r="E29" s="7"/>
      <c r="F29" s="170">
        <f>H29*'Scope and Scaling Factors'!$Q$20+I29*'Resource Plan - Self '!$J$32+'Project Plan - Self '!J29*'Scope and Scaling Factors'!$R$20+'Project Plan - Self '!K29*'Scope and Scaling Factors'!$S$20+'Project Plan - Self '!L29*'Scope and Scaling Factors'!$T$20+'Project Plan - Self '!M29*'Scope and Scaling Factors'!$U$20+'Project Plan - Self '!N29*'Scope and Scaling Factors'!$V$20+'Project Plan - Self '!O29*'Scope and Scaling Factors'!$W$20+'Project Plan - Self '!P29*'Scope and Scaling Factors'!$X$20</f>
        <v>1344</v>
      </c>
      <c r="G29" s="325">
        <f t="shared" si="3"/>
        <v>14</v>
      </c>
      <c r="H29" s="325"/>
      <c r="I29" s="325"/>
      <c r="J29" s="325">
        <v>4</v>
      </c>
      <c r="K29" s="325">
        <v>5</v>
      </c>
      <c r="L29" s="325"/>
      <c r="M29" s="325"/>
      <c r="N29" s="325"/>
      <c r="O29" s="325">
        <v>5</v>
      </c>
      <c r="P29" s="326"/>
      <c r="Q29" s="69"/>
      <c r="R29" s="6"/>
      <c r="S29" s="16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53"/>
      <c r="ET29" s="136"/>
    </row>
    <row r="30" spans="1:150" ht="15.65" customHeight="1" x14ac:dyDescent="0.35">
      <c r="A30" s="132"/>
      <c r="B30" s="119"/>
      <c r="C30" s="162"/>
      <c r="D30" s="169" t="s">
        <v>78</v>
      </c>
      <c r="E30" s="7"/>
      <c r="F30" s="170">
        <f>H30*'Scope and Scaling Factors'!$Q$20+I30*'Resource Plan - Self '!$J$32+'Project Plan - Self '!J30*'Scope and Scaling Factors'!$R$20+'Project Plan - Self '!K30*'Scope and Scaling Factors'!$S$20+'Project Plan - Self '!L30*'Scope and Scaling Factors'!$T$20+'Project Plan - Self '!M30*'Scope and Scaling Factors'!$U$20+'Project Plan - Self '!N30*'Scope and Scaling Factors'!$V$20+'Project Plan - Self '!O30*'Scope and Scaling Factors'!$W$20+'Project Plan - Self '!P30*'Scope and Scaling Factors'!$X$20</f>
        <v>1344</v>
      </c>
      <c r="G30" s="325">
        <f t="shared" si="3"/>
        <v>14</v>
      </c>
      <c r="H30" s="325"/>
      <c r="I30" s="325"/>
      <c r="J30" s="325">
        <v>4</v>
      </c>
      <c r="K30" s="325">
        <v>5</v>
      </c>
      <c r="L30" s="325"/>
      <c r="M30" s="325"/>
      <c r="N30" s="325"/>
      <c r="O30" s="325">
        <v>5</v>
      </c>
      <c r="P30" s="326"/>
      <c r="Q30" s="69"/>
      <c r="R30" s="6"/>
      <c r="S30" s="16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53"/>
      <c r="ET30" s="136"/>
    </row>
    <row r="31" spans="1:150" ht="15.65" customHeight="1" x14ac:dyDescent="0.35">
      <c r="A31" s="132"/>
      <c r="B31" s="119"/>
      <c r="C31" s="162"/>
      <c r="D31" s="169" t="s">
        <v>79</v>
      </c>
      <c r="E31" s="7"/>
      <c r="F31" s="170">
        <f>H31*'Scope and Scaling Factors'!$Q$20+I31*'Resource Plan - Self '!$J$32+'Project Plan - Self '!J31*'Scope and Scaling Factors'!$R$20+'Project Plan - Self '!K31*'Scope and Scaling Factors'!$S$20+'Project Plan - Self '!L31*'Scope and Scaling Factors'!$T$20+'Project Plan - Self '!M31*'Scope and Scaling Factors'!$U$20+'Project Plan - Self '!N31*'Scope and Scaling Factors'!$V$20+'Project Plan - Self '!O31*'Scope and Scaling Factors'!$W$20+'Project Plan - Self '!P31*'Scope and Scaling Factors'!$X$20</f>
        <v>1344</v>
      </c>
      <c r="G31" s="325">
        <f t="shared" si="3"/>
        <v>14</v>
      </c>
      <c r="H31" s="325"/>
      <c r="I31" s="325"/>
      <c r="J31" s="325">
        <v>4</v>
      </c>
      <c r="K31" s="325">
        <v>5</v>
      </c>
      <c r="L31" s="325"/>
      <c r="M31" s="325"/>
      <c r="N31" s="325"/>
      <c r="O31" s="325">
        <v>5</v>
      </c>
      <c r="P31" s="326"/>
      <c r="Q31" s="69"/>
      <c r="R31" s="6"/>
      <c r="S31" s="16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53"/>
      <c r="ET31" s="136"/>
    </row>
    <row r="32" spans="1:150" ht="15.65" customHeight="1" x14ac:dyDescent="0.35">
      <c r="A32" s="132"/>
      <c r="B32" s="119"/>
      <c r="C32" s="162"/>
      <c r="D32" s="169" t="s">
        <v>80</v>
      </c>
      <c r="E32" s="7"/>
      <c r="F32" s="170">
        <f>H32*'Scope and Scaling Factors'!$Q$20+I32*'Resource Plan - Self '!$J$32+'Project Plan - Self '!J32*'Scope and Scaling Factors'!$R$20+'Project Plan - Self '!K32*'Scope and Scaling Factors'!$S$20+'Project Plan - Self '!L32*'Scope and Scaling Factors'!$T$20+'Project Plan - Self '!M32*'Scope and Scaling Factors'!$U$20+'Project Plan - Self '!N32*'Scope and Scaling Factors'!$V$20+'Project Plan - Self '!O32*'Scope and Scaling Factors'!$W$20+'Project Plan - Self '!P32*'Scope and Scaling Factors'!$X$20</f>
        <v>1344</v>
      </c>
      <c r="G32" s="325">
        <f t="shared" si="3"/>
        <v>14</v>
      </c>
      <c r="H32" s="325"/>
      <c r="I32" s="325"/>
      <c r="J32" s="325">
        <v>4</v>
      </c>
      <c r="K32" s="325">
        <v>5</v>
      </c>
      <c r="L32" s="325"/>
      <c r="M32" s="325"/>
      <c r="N32" s="325"/>
      <c r="O32" s="325">
        <v>5</v>
      </c>
      <c r="P32" s="326"/>
      <c r="Q32" s="69"/>
      <c r="R32" s="6"/>
      <c r="S32" s="16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53"/>
      <c r="ET32" s="136"/>
    </row>
    <row r="33" spans="1:150" ht="15.65" customHeight="1" x14ac:dyDescent="0.35">
      <c r="A33" s="132"/>
      <c r="B33" s="119"/>
      <c r="C33" s="162"/>
      <c r="D33" s="173" t="s">
        <v>81</v>
      </c>
      <c r="E33" s="174"/>
      <c r="F33" s="175">
        <f>H33*'Scope and Scaling Factors'!$Q$20+I33*'Resource Plan - Self '!$J$32+'Project Plan - Self '!J33*'Scope and Scaling Factors'!$R$20+'Project Plan - Self '!K33*'Scope and Scaling Factors'!$S$20+'Project Plan - Self '!L33*'Scope and Scaling Factors'!$T$20+'Project Plan - Self '!M33*'Scope and Scaling Factors'!$U$20+'Project Plan - Self '!N33*'Scope and Scaling Factors'!$V$20+'Project Plan - Self '!O33*'Scope and Scaling Factors'!$W$20+'Project Plan - Self '!P33*'Scope and Scaling Factors'!$X$20</f>
        <v>3030</v>
      </c>
      <c r="G33" s="327">
        <f t="shared" si="3"/>
        <v>30</v>
      </c>
      <c r="H33" s="327"/>
      <c r="I33" s="327">
        <v>2</v>
      </c>
      <c r="J33" s="327">
        <v>8</v>
      </c>
      <c r="K33" s="327">
        <v>10</v>
      </c>
      <c r="L33" s="327"/>
      <c r="M33" s="327"/>
      <c r="N33" s="327"/>
      <c r="O33" s="327">
        <v>10</v>
      </c>
      <c r="P33" s="330"/>
      <c r="Q33" s="69"/>
      <c r="R33" s="6"/>
      <c r="S33" s="16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53"/>
      <c r="ET33" s="136"/>
    </row>
    <row r="34" spans="1:150" ht="15.65" customHeight="1" x14ac:dyDescent="0.35">
      <c r="A34" s="132"/>
      <c r="B34" s="119"/>
      <c r="C34" s="162"/>
      <c r="D34" s="1"/>
      <c r="E34" s="1"/>
      <c r="F34" s="178"/>
      <c r="G34" s="179"/>
      <c r="H34" s="1"/>
      <c r="I34" s="1"/>
      <c r="J34" s="1"/>
      <c r="K34" s="1"/>
      <c r="L34" s="1"/>
      <c r="M34" s="1"/>
      <c r="N34" s="1"/>
      <c r="O34" s="1"/>
      <c r="P34" s="179"/>
      <c r="Q34" s="69"/>
      <c r="R34" s="6"/>
      <c r="S34" s="16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53"/>
      <c r="ET34" s="136"/>
    </row>
    <row r="35" spans="1:150" ht="15.65" customHeight="1" x14ac:dyDescent="0.35">
      <c r="A35" s="132"/>
      <c r="B35" s="119"/>
      <c r="C35" s="162"/>
      <c r="D35" s="1"/>
      <c r="E35" s="1"/>
      <c r="F35" s="178"/>
      <c r="G35" s="179"/>
      <c r="H35" s="179"/>
      <c r="I35" s="320"/>
      <c r="J35" s="320"/>
      <c r="K35" s="320"/>
      <c r="L35" s="320"/>
      <c r="M35" s="320"/>
      <c r="N35" s="320"/>
      <c r="O35" s="320"/>
      <c r="P35" s="320"/>
      <c r="Q35" s="69"/>
      <c r="R35" s="6"/>
      <c r="S35" s="16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53"/>
      <c r="ET35" s="136"/>
    </row>
    <row r="36" spans="1:150" ht="15.65" customHeight="1" x14ac:dyDescent="0.35">
      <c r="A36" s="132"/>
      <c r="B36" s="119"/>
      <c r="C36" s="162"/>
      <c r="D36" s="180" t="s">
        <v>82</v>
      </c>
      <c r="E36" s="181"/>
      <c r="F36" s="182">
        <f>H36*'Scope and Scaling Factors'!$Q$20+I36*'Resource Plan - Self '!J32+'Project Plan - Self '!J36*'Scope and Scaling Factors'!$R$20+'Project Plan - Self '!K36*'Scope and Scaling Factors'!$S$20+'Project Plan - Self '!L36*'Scope and Scaling Factors'!$T$20+'Project Plan - Self '!M36*'Scope and Scaling Factors'!$U$20+'Project Plan - Self '!N36*'Scope and Scaling Factors'!$V$20+'Project Plan - Self '!O36*'Scope and Scaling Factors'!$W$20+'Project Plan - Self '!P36*'Scope and Scaling Factors'!$X$20</f>
        <v>1740</v>
      </c>
      <c r="G36" s="184">
        <f>SUM(H36:P36)</f>
        <v>20</v>
      </c>
      <c r="H36" s="184"/>
      <c r="I36" s="184"/>
      <c r="J36" s="184">
        <v>4</v>
      </c>
      <c r="K36" s="184">
        <v>8</v>
      </c>
      <c r="L36" s="184"/>
      <c r="M36" s="184"/>
      <c r="N36" s="184"/>
      <c r="O36" s="184">
        <v>8</v>
      </c>
      <c r="P36" s="183"/>
      <c r="Q36" s="69"/>
      <c r="R36" s="6"/>
      <c r="S36" s="16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53"/>
      <c r="ET36" s="136"/>
    </row>
    <row r="37" spans="1:150" ht="15.65" customHeight="1" x14ac:dyDescent="0.35">
      <c r="A37" s="132"/>
      <c r="B37" s="119"/>
      <c r="C37" s="162"/>
      <c r="D37" s="1"/>
      <c r="E37" s="1"/>
      <c r="F37" s="178"/>
      <c r="G37" s="1"/>
      <c r="H37" s="1"/>
      <c r="I37" s="1"/>
      <c r="J37" s="1"/>
      <c r="K37" s="1"/>
      <c r="L37" s="1"/>
      <c r="M37" s="1"/>
      <c r="N37" s="1"/>
      <c r="O37" s="1"/>
      <c r="P37" s="1"/>
      <c r="Q37" s="69"/>
      <c r="R37" s="6"/>
      <c r="S37" s="16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53"/>
      <c r="ET37" s="136"/>
    </row>
    <row r="38" spans="1:150" ht="15.65" customHeight="1" x14ac:dyDescent="0.35">
      <c r="A38" s="132"/>
      <c r="B38" s="119"/>
      <c r="C38" s="162"/>
      <c r="D38" s="1"/>
      <c r="E38" s="1"/>
      <c r="F38" s="178"/>
      <c r="G38" s="1"/>
      <c r="H38" s="1"/>
      <c r="I38" s="1"/>
      <c r="J38" s="1"/>
      <c r="K38" s="1"/>
      <c r="L38" s="1"/>
      <c r="M38" s="1"/>
      <c r="N38" s="1"/>
      <c r="O38" s="1"/>
      <c r="P38" s="1"/>
      <c r="Q38" s="69"/>
      <c r="R38" s="6"/>
      <c r="S38" s="16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53"/>
      <c r="ET38" s="136"/>
    </row>
    <row r="39" spans="1:150" ht="15.65" customHeight="1" x14ac:dyDescent="0.35">
      <c r="A39" s="132"/>
      <c r="B39" s="119"/>
      <c r="C39" s="162"/>
      <c r="D39" s="185" t="s">
        <v>83</v>
      </c>
      <c r="E39" s="1"/>
      <c r="F39" s="186">
        <f t="shared" ref="F39:P39" si="4">F17+F26+F36</f>
        <v>31596</v>
      </c>
      <c r="G39" s="337">
        <f t="shared" si="4"/>
        <v>264</v>
      </c>
      <c r="H39" s="337">
        <f t="shared" si="4"/>
        <v>12</v>
      </c>
      <c r="I39" s="337">
        <f t="shared" si="4"/>
        <v>8</v>
      </c>
      <c r="J39" s="337">
        <f t="shared" si="4"/>
        <v>64</v>
      </c>
      <c r="K39" s="337">
        <f t="shared" si="4"/>
        <v>90</v>
      </c>
      <c r="L39" s="337">
        <f t="shared" si="4"/>
        <v>0</v>
      </c>
      <c r="M39" s="337">
        <f t="shared" si="4"/>
        <v>0</v>
      </c>
      <c r="N39" s="337">
        <f t="shared" si="4"/>
        <v>0</v>
      </c>
      <c r="O39" s="337">
        <f t="shared" si="4"/>
        <v>90</v>
      </c>
      <c r="P39" s="337">
        <f t="shared" si="4"/>
        <v>0</v>
      </c>
      <c r="Q39" s="69"/>
      <c r="R39" s="6"/>
      <c r="S39" s="16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53"/>
      <c r="ET39" s="136"/>
    </row>
    <row r="40" spans="1:150" ht="15.65" customHeight="1" x14ac:dyDescent="0.35">
      <c r="A40" s="132"/>
      <c r="B40" s="119"/>
      <c r="C40" s="162"/>
      <c r="D40" s="1"/>
      <c r="E40" s="1"/>
      <c r="F40" s="187"/>
      <c r="G40" s="1"/>
      <c r="H40" s="1"/>
      <c r="I40" s="1"/>
      <c r="J40" s="1"/>
      <c r="K40" s="1"/>
      <c r="L40" s="1"/>
      <c r="M40" s="1"/>
      <c r="N40" s="1"/>
      <c r="O40" s="1"/>
      <c r="P40" s="188"/>
      <c r="Q40" s="69"/>
      <c r="R40" s="6"/>
      <c r="S40" s="16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53"/>
      <c r="ET40" s="136"/>
    </row>
    <row r="41" spans="1:150" ht="15.65" customHeight="1" x14ac:dyDescent="0.35">
      <c r="A41" s="132"/>
      <c r="B41" s="119"/>
      <c r="C41" s="162"/>
      <c r="D41" s="185"/>
      <c r="E41" s="1"/>
      <c r="F41" s="1"/>
      <c r="G41" s="1"/>
      <c r="H41" s="1"/>
      <c r="I41" s="1"/>
      <c r="J41" s="1"/>
      <c r="K41" s="1"/>
      <c r="L41" s="1"/>
      <c r="M41" s="1"/>
      <c r="N41" s="1"/>
      <c r="O41" s="1"/>
      <c r="P41" s="189"/>
      <c r="Q41" s="69"/>
      <c r="R41" s="6"/>
      <c r="S41" s="16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53"/>
      <c r="ET41" s="136"/>
    </row>
    <row r="42" spans="1:150" ht="15.65" customHeight="1" x14ac:dyDescent="0.35">
      <c r="A42" s="132"/>
      <c r="B42" s="119"/>
      <c r="C42" s="162"/>
      <c r="D42" s="1"/>
      <c r="E42" s="1"/>
      <c r="F42" s="1"/>
      <c r="G42" s="1"/>
      <c r="H42" s="1"/>
      <c r="I42" s="1"/>
      <c r="J42" s="1"/>
      <c r="K42" s="1"/>
      <c r="L42" s="1"/>
      <c r="M42" s="1"/>
      <c r="N42" s="1"/>
      <c r="O42" s="1"/>
      <c r="P42" s="1"/>
      <c r="Q42" s="69"/>
      <c r="R42" s="6"/>
      <c r="S42" s="16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53"/>
      <c r="ET42" s="136"/>
    </row>
    <row r="43" spans="1:150" ht="15.65" customHeight="1" x14ac:dyDescent="0.35">
      <c r="A43" s="132"/>
      <c r="B43" s="119"/>
      <c r="C43" s="190"/>
      <c r="D43" s="191"/>
      <c r="E43" s="191"/>
      <c r="F43" s="191"/>
      <c r="G43" s="191"/>
      <c r="H43" s="191"/>
      <c r="I43" s="191"/>
      <c r="J43" s="191"/>
      <c r="K43" s="191"/>
      <c r="L43" s="191"/>
      <c r="M43" s="191"/>
      <c r="N43" s="191"/>
      <c r="O43" s="191"/>
      <c r="P43" s="191"/>
      <c r="Q43" s="192"/>
      <c r="R43" s="6"/>
      <c r="S43" s="16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53"/>
      <c r="ET43" s="136"/>
    </row>
    <row r="44" spans="1:150" ht="15.65" customHeight="1" thickBot="1" x14ac:dyDescent="0.4">
      <c r="A44" s="132"/>
      <c r="B44" s="122"/>
      <c r="C44" s="193"/>
      <c r="D44" s="123"/>
      <c r="E44" s="123"/>
      <c r="F44" s="123"/>
      <c r="G44" s="123"/>
      <c r="H44" s="123"/>
      <c r="I44" s="123"/>
      <c r="J44" s="123"/>
      <c r="K44" s="123"/>
      <c r="L44" s="123"/>
      <c r="M44" s="123"/>
      <c r="N44" s="123"/>
      <c r="O44" s="123"/>
      <c r="P44" s="123"/>
      <c r="Q44" s="194"/>
      <c r="R44" s="15"/>
      <c r="S44" s="16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26"/>
      <c r="ET44" s="136"/>
    </row>
    <row r="45" spans="1:150" ht="15.65" customHeight="1" x14ac:dyDescent="0.3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195"/>
      <c r="AT45" s="195"/>
      <c r="AU45" s="195"/>
      <c r="AV45" s="195"/>
      <c r="AW45" s="195"/>
      <c r="AX45" s="195"/>
      <c r="AY45" s="195"/>
      <c r="AZ45" s="195"/>
      <c r="BA45" s="195"/>
      <c r="BB45" s="195"/>
      <c r="BC45" s="195"/>
      <c r="BD45" s="195"/>
      <c r="BE45" s="195"/>
      <c r="BF45" s="195"/>
      <c r="BG45" s="195"/>
      <c r="BH45" s="195"/>
      <c r="BI45" s="195"/>
      <c r="BJ45" s="195"/>
      <c r="BK45" s="195"/>
      <c r="BL45" s="195"/>
      <c r="BM45" s="195"/>
      <c r="BN45" s="195"/>
      <c r="BO45" s="195"/>
      <c r="BP45" s="195"/>
      <c r="BQ45" s="195"/>
      <c r="BR45" s="195"/>
      <c r="BS45" s="195"/>
      <c r="BT45" s="195"/>
      <c r="BU45" s="195"/>
      <c r="BV45" s="195"/>
      <c r="BW45" s="195"/>
      <c r="BX45" s="195"/>
      <c r="BY45" s="195"/>
      <c r="BZ45" s="195"/>
      <c r="CA45" s="195"/>
      <c r="CB45" s="195"/>
      <c r="CC45" s="195"/>
      <c r="CD45" s="195"/>
      <c r="CE45" s="195"/>
      <c r="CF45" s="195"/>
      <c r="CG45" s="195"/>
      <c r="CH45" s="195"/>
      <c r="CI45" s="195"/>
      <c r="CJ45" s="195"/>
      <c r="CK45" s="195"/>
      <c r="CL45" s="195"/>
      <c r="CM45" s="195"/>
      <c r="CN45" s="195"/>
      <c r="CO45" s="195"/>
      <c r="CP45" s="195"/>
      <c r="CQ45" s="195"/>
      <c r="CR45" s="195"/>
      <c r="CS45" s="195"/>
      <c r="CT45" s="195"/>
      <c r="CU45" s="195"/>
      <c r="CV45" s="195"/>
      <c r="CW45" s="195"/>
      <c r="CX45" s="195"/>
      <c r="CY45" s="195"/>
      <c r="CZ45" s="195"/>
      <c r="DA45" s="195"/>
      <c r="DB45" s="195"/>
      <c r="DC45" s="195"/>
      <c r="DD45" s="195"/>
      <c r="DE45" s="195"/>
      <c r="DF45" s="195"/>
      <c r="DG45" s="195"/>
      <c r="DH45" s="195"/>
      <c r="DI45" s="195"/>
      <c r="DJ45" s="195"/>
      <c r="DK45" s="195"/>
      <c r="DL45" s="195"/>
      <c r="DM45" s="195"/>
      <c r="DN45" s="195"/>
      <c r="DO45" s="195"/>
      <c r="DP45" s="195"/>
      <c r="DQ45" s="195"/>
      <c r="DR45" s="195"/>
      <c r="DS45" s="195"/>
      <c r="DT45" s="195"/>
      <c r="DU45" s="195"/>
      <c r="DV45" s="195"/>
      <c r="DW45" s="195"/>
      <c r="DX45" s="195"/>
      <c r="DY45" s="195"/>
      <c r="DZ45" s="195"/>
      <c r="EA45" s="195"/>
      <c r="EB45" s="195"/>
      <c r="EC45" s="195"/>
      <c r="ED45" s="195"/>
      <c r="EE45" s="195"/>
      <c r="EF45" s="195"/>
      <c r="EG45" s="195"/>
      <c r="EH45" s="195"/>
      <c r="EI45" s="195"/>
      <c r="EJ45" s="195"/>
      <c r="EK45" s="195"/>
      <c r="EL45" s="195"/>
      <c r="EM45" s="195"/>
      <c r="EN45" s="195"/>
      <c r="EO45" s="195"/>
      <c r="EP45" s="195"/>
      <c r="EQ45" s="195"/>
      <c r="ER45" s="195"/>
      <c r="ES45" s="195"/>
    </row>
  </sheetData>
  <sheetProtection formatColumns="0" formatRows="0"/>
  <mergeCells count="4">
    <mergeCell ref="C8:D9"/>
    <mergeCell ref="D14:E15"/>
    <mergeCell ref="F14:G14"/>
    <mergeCell ref="H14:P14"/>
  </mergeCells>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ommandButton1">
          <controlPr defaultSize="0" autoLine="0" autoPict="0" r:id="rId5">
            <anchor>
              <from>
                <xdr:col>5</xdr:col>
                <xdr:colOff>520700</xdr:colOff>
                <xdr:row>7</xdr:row>
                <xdr:rowOff>177800</xdr:rowOff>
              </from>
              <to>
                <xdr:col>6</xdr:col>
                <xdr:colOff>711200</xdr:colOff>
                <xdr:row>9</xdr:row>
                <xdr:rowOff>177800</xdr:rowOff>
              </to>
            </anchor>
          </controlPr>
        </control>
      </mc:Choice>
      <mc:Fallback>
        <control shapeId="3073"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0510E-D043-4A60-A015-623D630767E2}">
  <sheetPr codeName="Sheet7">
    <pageSetUpPr autoPageBreaks="0"/>
  </sheetPr>
  <dimension ref="A1:ET45"/>
  <sheetViews>
    <sheetView topLeftCell="A25" zoomScale="98" zoomScaleNormal="98" workbookViewId="0">
      <pane xSplit="5" topLeftCell="H1" activePane="topRight" state="frozen"/>
      <selection activeCell="M15" sqref="M15"/>
      <selection pane="topRight" activeCell="G39" sqref="G39:P39"/>
    </sheetView>
  </sheetViews>
  <sheetFormatPr defaultColWidth="8.81640625" defaultRowHeight="15.65" customHeight="1" x14ac:dyDescent="0.35"/>
  <cols>
    <col min="1" max="1" width="1.453125" style="130" customWidth="1"/>
    <col min="2" max="3" width="2.453125" style="130" customWidth="1"/>
    <col min="4" max="4" width="62.81640625" style="130" customWidth="1"/>
    <col min="5" max="5" width="9.1796875" style="130" customWidth="1"/>
    <col min="6" max="6" width="12.1796875" style="130" customWidth="1"/>
    <col min="7" max="7" width="11.453125" style="130" customWidth="1"/>
    <col min="8" max="8" width="8.81640625" style="130" customWidth="1"/>
    <col min="9" max="9" width="10.453125" style="130" customWidth="1"/>
    <col min="10" max="17" width="8.81640625" style="130" customWidth="1"/>
    <col min="18" max="147" width="8.81640625" style="130" hidden="1" customWidth="1"/>
    <col min="148" max="148" width="2.453125" style="130" hidden="1" customWidth="1"/>
    <col min="149" max="149" width="2.453125" style="130" customWidth="1"/>
    <col min="150" max="16384" width="8.81640625" style="130"/>
  </cols>
  <sheetData>
    <row r="1" spans="1:150" ht="15.65" customHeight="1" thickBot="1" x14ac:dyDescent="0.4">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c r="BJ1" s="131"/>
      <c r="BK1" s="131"/>
      <c r="BL1" s="131"/>
      <c r="BM1" s="131"/>
      <c r="BN1" s="131"/>
      <c r="BO1" s="131"/>
      <c r="BP1" s="131"/>
      <c r="BQ1" s="131"/>
      <c r="BR1" s="131"/>
      <c r="BS1" s="131"/>
      <c r="BT1" s="131"/>
      <c r="BU1" s="131"/>
      <c r="BV1" s="131"/>
      <c r="BW1" s="131"/>
      <c r="BX1" s="131"/>
      <c r="BY1" s="131"/>
      <c r="BZ1" s="131"/>
      <c r="CA1" s="131"/>
      <c r="CB1" s="131"/>
      <c r="CC1" s="131"/>
      <c r="CD1" s="131"/>
      <c r="CE1" s="131"/>
      <c r="CF1" s="131"/>
      <c r="CG1" s="131"/>
      <c r="CH1" s="131"/>
      <c r="CI1" s="131"/>
      <c r="CJ1" s="131"/>
      <c r="CK1" s="131"/>
      <c r="CL1" s="131"/>
      <c r="CM1" s="131"/>
      <c r="CN1" s="131"/>
      <c r="CO1" s="131"/>
      <c r="CP1" s="131"/>
      <c r="CQ1" s="131"/>
      <c r="CR1" s="131"/>
      <c r="CS1" s="131"/>
      <c r="CT1" s="131"/>
      <c r="CU1" s="131"/>
      <c r="CV1" s="131"/>
      <c r="CW1" s="131"/>
      <c r="CX1" s="131"/>
      <c r="CY1" s="131"/>
      <c r="CZ1" s="131"/>
      <c r="DA1" s="131"/>
      <c r="DB1" s="131"/>
      <c r="DC1" s="131"/>
      <c r="DD1" s="131"/>
      <c r="DE1" s="131"/>
      <c r="DF1" s="131"/>
      <c r="DG1" s="131"/>
      <c r="DH1" s="131"/>
      <c r="DI1" s="131"/>
      <c r="DJ1" s="131"/>
      <c r="DK1" s="131"/>
      <c r="DL1" s="131"/>
      <c r="DM1" s="131"/>
      <c r="DN1" s="131"/>
      <c r="DO1" s="131"/>
      <c r="DP1" s="131"/>
      <c r="DQ1" s="131"/>
      <c r="DR1" s="131"/>
      <c r="DS1" s="131"/>
      <c r="DT1" s="131"/>
      <c r="DU1" s="131"/>
      <c r="DV1" s="131"/>
      <c r="DW1" s="131"/>
      <c r="DX1" s="131"/>
      <c r="DY1" s="131"/>
      <c r="DZ1" s="131"/>
      <c r="EA1" s="131"/>
      <c r="EB1" s="131"/>
      <c r="EC1" s="131"/>
      <c r="ED1" s="131"/>
      <c r="EE1" s="131"/>
      <c r="EF1" s="131"/>
      <c r="EG1" s="131"/>
      <c r="EH1" s="131"/>
      <c r="EI1" s="131"/>
      <c r="EJ1" s="131"/>
      <c r="EK1" s="131"/>
      <c r="EL1" s="131"/>
      <c r="EM1" s="131"/>
      <c r="EN1" s="131"/>
      <c r="EO1" s="131"/>
      <c r="EP1" s="131"/>
      <c r="EQ1" s="131"/>
      <c r="ER1" s="131"/>
      <c r="ES1" s="131"/>
    </row>
    <row r="2" spans="1:150" ht="15.65" customHeight="1" thickBot="1" x14ac:dyDescent="0.4">
      <c r="A2" s="132"/>
      <c r="B2" s="133"/>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5"/>
      <c r="ET2" s="136"/>
    </row>
    <row r="3" spans="1:150" ht="15.65" customHeight="1" thickBot="1" x14ac:dyDescent="0.4">
      <c r="A3" s="132"/>
      <c r="B3" s="137"/>
      <c r="C3" s="138" t="s">
        <v>2</v>
      </c>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9"/>
      <c r="ES3" s="139"/>
      <c r="ET3" s="136"/>
    </row>
    <row r="4" spans="1:150" ht="15.65" customHeight="1" thickBot="1" x14ac:dyDescent="0.4">
      <c r="A4" s="132"/>
      <c r="B4" s="137"/>
      <c r="C4" s="140" t="s">
        <v>53</v>
      </c>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c r="CR4" s="52"/>
      <c r="CS4" s="52"/>
      <c r="CT4" s="52"/>
      <c r="CU4" s="52"/>
      <c r="CV4" s="52"/>
      <c r="CW4" s="52"/>
      <c r="CX4" s="52"/>
      <c r="CY4" s="52"/>
      <c r="CZ4" s="52"/>
      <c r="DA4" s="52"/>
      <c r="DB4" s="52"/>
      <c r="DC4" s="52"/>
      <c r="DD4" s="52"/>
      <c r="DE4" s="52"/>
      <c r="DF4" s="52"/>
      <c r="DG4" s="52"/>
      <c r="DH4" s="52"/>
      <c r="DI4" s="52"/>
      <c r="DJ4" s="52"/>
      <c r="DK4" s="52"/>
      <c r="DL4" s="52"/>
      <c r="DM4" s="52"/>
      <c r="DN4" s="52"/>
      <c r="DO4" s="52"/>
      <c r="DP4" s="52"/>
      <c r="DQ4" s="52"/>
      <c r="DR4" s="52"/>
      <c r="DS4" s="52"/>
      <c r="DT4" s="52"/>
      <c r="DU4" s="52"/>
      <c r="DV4" s="52"/>
      <c r="DW4" s="52"/>
      <c r="DX4" s="52"/>
      <c r="DY4" s="52"/>
      <c r="DZ4" s="52"/>
      <c r="EA4" s="52"/>
      <c r="EB4" s="52"/>
      <c r="EC4" s="52"/>
      <c r="ED4" s="52"/>
      <c r="EE4" s="52"/>
      <c r="EF4" s="52"/>
      <c r="EG4" s="52"/>
      <c r="EH4" s="52"/>
      <c r="EI4" s="52"/>
      <c r="EJ4" s="52"/>
      <c r="EK4" s="52"/>
      <c r="EL4" s="52"/>
      <c r="EM4" s="52"/>
      <c r="EN4" s="52"/>
      <c r="EO4" s="52"/>
      <c r="EP4" s="52"/>
      <c r="EQ4" s="52"/>
      <c r="ER4" s="56"/>
      <c r="ES4" s="139"/>
      <c r="ET4" s="136"/>
    </row>
    <row r="5" spans="1:150" ht="15.65" customHeight="1" thickBot="1" x14ac:dyDescent="0.4">
      <c r="A5" s="132"/>
      <c r="B5" s="141"/>
      <c r="C5" s="142" t="s">
        <v>54</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67"/>
      <c r="ES5" s="143"/>
      <c r="ET5" s="136"/>
    </row>
    <row r="6" spans="1:150" ht="15.65" customHeight="1" thickBot="1" x14ac:dyDescent="0.4">
      <c r="A6" s="132"/>
      <c r="B6" s="144"/>
      <c r="C6" s="145" t="s">
        <v>55</v>
      </c>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46"/>
      <c r="ES6" s="147"/>
      <c r="ET6" s="136"/>
    </row>
    <row r="7" spans="1:150" ht="15.65" customHeight="1" x14ac:dyDescent="0.35">
      <c r="A7" s="132"/>
      <c r="B7" s="148"/>
      <c r="C7" s="149"/>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0"/>
      <c r="DL7" s="150"/>
      <c r="DM7" s="150"/>
      <c r="DN7" s="150"/>
      <c r="DO7" s="150"/>
      <c r="DP7" s="150"/>
      <c r="DQ7" s="150"/>
      <c r="DR7" s="150"/>
      <c r="DS7" s="150"/>
      <c r="DT7" s="150"/>
      <c r="DU7" s="150"/>
      <c r="DV7" s="150"/>
      <c r="DW7" s="150"/>
      <c r="DX7" s="150"/>
      <c r="DY7" s="150"/>
      <c r="DZ7" s="150"/>
      <c r="EA7" s="150"/>
      <c r="EB7" s="150"/>
      <c r="EC7" s="150"/>
      <c r="ED7" s="150"/>
      <c r="EE7" s="150"/>
      <c r="EF7" s="150"/>
      <c r="EG7" s="150"/>
      <c r="EH7" s="150"/>
      <c r="EI7" s="150"/>
      <c r="EJ7" s="150"/>
      <c r="EK7" s="150"/>
      <c r="EL7" s="150"/>
      <c r="EM7" s="150"/>
      <c r="EN7" s="150"/>
      <c r="EO7" s="150"/>
      <c r="EP7" s="150"/>
      <c r="EQ7" s="150"/>
      <c r="ER7" s="118"/>
      <c r="ES7" s="147"/>
      <c r="ET7" s="136"/>
    </row>
    <row r="8" spans="1:150" ht="15.65" customHeight="1" x14ac:dyDescent="0.35">
      <c r="A8" s="132"/>
      <c r="B8" s="151"/>
      <c r="C8" s="403" t="s">
        <v>56</v>
      </c>
      <c r="D8" s="404"/>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2"/>
      <c r="CO8" s="152"/>
      <c r="CP8" s="152"/>
      <c r="CQ8" s="152"/>
      <c r="CR8" s="152"/>
      <c r="CS8" s="152"/>
      <c r="CT8" s="152"/>
      <c r="CU8" s="152"/>
      <c r="CV8" s="152"/>
      <c r="CW8" s="152"/>
      <c r="CX8" s="152"/>
      <c r="CY8" s="152"/>
      <c r="CZ8" s="152"/>
      <c r="DA8" s="152"/>
      <c r="DB8" s="152"/>
      <c r="DC8" s="152"/>
      <c r="DD8" s="152"/>
      <c r="DE8" s="152"/>
      <c r="DF8" s="152"/>
      <c r="DG8" s="152"/>
      <c r="DH8" s="152"/>
      <c r="DI8" s="152"/>
      <c r="DJ8" s="152"/>
      <c r="DK8" s="152"/>
      <c r="DL8" s="152"/>
      <c r="DM8" s="152"/>
      <c r="DN8" s="152"/>
      <c r="DO8" s="152"/>
      <c r="DP8" s="152"/>
      <c r="DQ8" s="152"/>
      <c r="DR8" s="152"/>
      <c r="DS8" s="152"/>
      <c r="DT8" s="152"/>
      <c r="DU8" s="152"/>
      <c r="DV8" s="152"/>
      <c r="DW8" s="152"/>
      <c r="DX8" s="152"/>
      <c r="DY8" s="152"/>
      <c r="DZ8" s="152"/>
      <c r="EA8" s="152"/>
      <c r="EB8" s="152"/>
      <c r="EC8" s="152"/>
      <c r="ED8" s="152"/>
      <c r="EE8" s="152"/>
      <c r="EF8" s="152"/>
      <c r="EG8" s="152"/>
      <c r="EH8" s="152"/>
      <c r="EI8" s="152"/>
      <c r="EJ8" s="152"/>
      <c r="EK8" s="152"/>
      <c r="EL8" s="152"/>
      <c r="EM8" s="152"/>
      <c r="EN8" s="152"/>
      <c r="EO8" s="152"/>
      <c r="EP8" s="152"/>
      <c r="EQ8" s="152"/>
      <c r="ER8" s="152"/>
      <c r="ES8" s="153"/>
      <c r="ET8" s="136"/>
    </row>
    <row r="9" spans="1:150" ht="15.65" customHeight="1" x14ac:dyDescent="0.35">
      <c r="A9" s="132"/>
      <c r="B9" s="151"/>
      <c r="C9" s="405"/>
      <c r="D9" s="406"/>
      <c r="E9" s="154"/>
      <c r="F9" s="154"/>
      <c r="G9" s="155"/>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6"/>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3"/>
      <c r="ET9" s="136"/>
    </row>
    <row r="10" spans="1:150" ht="15.65" customHeight="1" thickBot="1" x14ac:dyDescent="0.4">
      <c r="A10" s="132"/>
      <c r="B10" s="25"/>
      <c r="C10" s="15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158"/>
      <c r="EN10" s="27"/>
      <c r="EO10" s="27"/>
      <c r="EP10" s="27"/>
      <c r="EQ10" s="27"/>
      <c r="ER10" s="27"/>
      <c r="ES10" s="153"/>
      <c r="ET10" s="136"/>
    </row>
    <row r="11" spans="1:150" ht="15.65" customHeight="1" x14ac:dyDescent="0.35">
      <c r="A11" s="132"/>
      <c r="B11" s="119"/>
      <c r="C11" s="7"/>
      <c r="D11" s="7"/>
      <c r="E11" s="7"/>
      <c r="F11" s="7"/>
      <c r="G11" s="7"/>
      <c r="H11" s="7"/>
      <c r="I11" s="7"/>
      <c r="J11" s="7"/>
      <c r="K11" s="7"/>
      <c r="L11" s="7"/>
      <c r="M11" s="7"/>
      <c r="N11" s="7"/>
      <c r="O11" s="7"/>
      <c r="P11" s="7"/>
      <c r="Q11" s="7"/>
      <c r="R11" s="4"/>
      <c r="S11" s="159"/>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c r="BS11" s="160"/>
      <c r="BT11" s="160"/>
      <c r="BU11" s="160"/>
      <c r="BV11" s="160"/>
      <c r="BW11" s="160"/>
      <c r="BX11" s="160"/>
      <c r="BY11" s="160"/>
      <c r="BZ11" s="160"/>
      <c r="CA11" s="160"/>
      <c r="CB11" s="160"/>
      <c r="CC11" s="160"/>
      <c r="CD11" s="160"/>
      <c r="CE11" s="160"/>
      <c r="CF11" s="160"/>
      <c r="CG11" s="160"/>
      <c r="CH11" s="160"/>
      <c r="CI11" s="160"/>
      <c r="CJ11" s="160"/>
      <c r="CK11" s="160"/>
      <c r="CL11" s="160"/>
      <c r="CM11" s="160"/>
      <c r="CN11" s="160"/>
      <c r="CO11" s="160"/>
      <c r="CP11" s="160"/>
      <c r="CQ11" s="160"/>
      <c r="CR11" s="160"/>
      <c r="CS11" s="160"/>
      <c r="CT11" s="160"/>
      <c r="CU11" s="160"/>
      <c r="CV11" s="160"/>
      <c r="CW11" s="160"/>
      <c r="CX11" s="160"/>
      <c r="CY11" s="160"/>
      <c r="CZ11" s="160"/>
      <c r="DA11" s="160"/>
      <c r="DB11" s="160"/>
      <c r="DC11" s="160"/>
      <c r="DD11" s="160"/>
      <c r="DE11" s="160"/>
      <c r="DF11" s="160"/>
      <c r="DG11" s="160"/>
      <c r="DH11" s="160"/>
      <c r="DI11" s="160"/>
      <c r="DJ11" s="160"/>
      <c r="DK11" s="160"/>
      <c r="DL11" s="160"/>
      <c r="DM11" s="160"/>
      <c r="DN11" s="160"/>
      <c r="DO11" s="160"/>
      <c r="DP11" s="160"/>
      <c r="DQ11" s="160"/>
      <c r="DR11" s="160"/>
      <c r="DS11" s="160"/>
      <c r="DT11" s="160"/>
      <c r="DU11" s="160"/>
      <c r="DV11" s="160"/>
      <c r="DW11" s="160"/>
      <c r="DX11" s="160"/>
      <c r="DY11" s="160"/>
      <c r="DZ11" s="160"/>
      <c r="EA11" s="160"/>
      <c r="EB11" s="160"/>
      <c r="EC11" s="160"/>
      <c r="ED11" s="160"/>
      <c r="EE11" s="160"/>
      <c r="EF11" s="160"/>
      <c r="EG11" s="160"/>
      <c r="EH11" s="160"/>
      <c r="EI11" s="160"/>
      <c r="EJ11" s="160"/>
      <c r="EK11" s="160"/>
      <c r="EL11" s="160"/>
      <c r="EM11" s="160"/>
      <c r="EN11" s="160"/>
      <c r="EO11" s="160"/>
      <c r="EP11" s="160"/>
      <c r="EQ11" s="160"/>
      <c r="ER11" s="160"/>
      <c r="ES11" s="153"/>
      <c r="ET11" s="136"/>
    </row>
    <row r="12" spans="1:150" ht="15.65" customHeight="1" x14ac:dyDescent="0.35">
      <c r="A12" s="132"/>
      <c r="B12" s="119"/>
      <c r="C12" s="138" t="s">
        <v>57</v>
      </c>
      <c r="D12" s="44"/>
      <c r="E12" s="44"/>
      <c r="F12" s="44"/>
      <c r="G12" s="44"/>
      <c r="H12" s="44"/>
      <c r="I12" s="44"/>
      <c r="J12" s="44"/>
      <c r="K12" s="44"/>
      <c r="L12" s="44"/>
      <c r="M12" s="44"/>
      <c r="N12" s="44"/>
      <c r="O12" s="44"/>
      <c r="P12" s="44"/>
      <c r="Q12" s="49"/>
      <c r="R12" s="6"/>
      <c r="S12" s="16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53"/>
      <c r="ET12" s="136"/>
    </row>
    <row r="13" spans="1:150" ht="15.65" customHeight="1" x14ac:dyDescent="0.35">
      <c r="A13" s="132"/>
      <c r="B13" s="119"/>
      <c r="C13" s="162"/>
      <c r="D13" s="1"/>
      <c r="E13" s="1"/>
      <c r="F13" s="1"/>
      <c r="G13" s="1"/>
      <c r="H13" s="1"/>
      <c r="I13" s="1"/>
      <c r="J13" s="1"/>
      <c r="K13" s="1"/>
      <c r="L13" s="1"/>
      <c r="M13" s="1"/>
      <c r="N13" s="1"/>
      <c r="O13" s="1"/>
      <c r="P13" s="1"/>
      <c r="Q13" s="69"/>
      <c r="R13" s="6"/>
      <c r="S13" s="16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53"/>
      <c r="ET13" s="136"/>
    </row>
    <row r="14" spans="1:150" ht="15.65" customHeight="1" x14ac:dyDescent="0.35">
      <c r="A14" s="132"/>
      <c r="B14" s="119"/>
      <c r="C14" s="162"/>
      <c r="D14" s="407" t="s">
        <v>58</v>
      </c>
      <c r="E14" s="408"/>
      <c r="F14" s="394" t="s">
        <v>59</v>
      </c>
      <c r="G14" s="396"/>
      <c r="H14" s="411" t="s">
        <v>60</v>
      </c>
      <c r="I14" s="411"/>
      <c r="J14" s="411"/>
      <c r="K14" s="411"/>
      <c r="L14" s="411"/>
      <c r="M14" s="411"/>
      <c r="N14" s="411"/>
      <c r="O14" s="411"/>
      <c r="P14" s="411"/>
      <c r="Q14" s="69"/>
      <c r="R14" s="6"/>
      <c r="S14" s="16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53"/>
      <c r="ET14" s="136"/>
    </row>
    <row r="15" spans="1:150" ht="46" customHeight="1" x14ac:dyDescent="0.35">
      <c r="A15" s="132"/>
      <c r="B15" s="119"/>
      <c r="C15" s="162"/>
      <c r="D15" s="409"/>
      <c r="E15" s="410"/>
      <c r="F15" s="163" t="s">
        <v>61</v>
      </c>
      <c r="G15" s="164" t="s">
        <v>62</v>
      </c>
      <c r="H15" s="165" t="s">
        <v>63</v>
      </c>
      <c r="I15" s="165" t="s">
        <v>64</v>
      </c>
      <c r="J15" s="165" t="s">
        <v>65</v>
      </c>
      <c r="K15" s="165" t="s">
        <v>26</v>
      </c>
      <c r="L15" s="165" t="s">
        <v>27</v>
      </c>
      <c r="M15" s="165" t="s">
        <v>28</v>
      </c>
      <c r="N15" s="165" t="s">
        <v>29</v>
      </c>
      <c r="O15" s="165" t="s">
        <v>30</v>
      </c>
      <c r="P15" s="165" t="s">
        <v>31</v>
      </c>
      <c r="Q15" s="69"/>
      <c r="R15" s="6"/>
      <c r="S15" s="16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53"/>
      <c r="ET15" s="136"/>
    </row>
    <row r="16" spans="1:150" ht="15.65" customHeight="1" x14ac:dyDescent="0.35">
      <c r="A16" s="132"/>
      <c r="B16" s="119"/>
      <c r="C16" s="162"/>
      <c r="D16" s="1"/>
      <c r="E16" s="1"/>
      <c r="F16" s="1"/>
      <c r="G16" s="1"/>
      <c r="H16" s="1"/>
      <c r="I16" s="1"/>
      <c r="J16" s="1"/>
      <c r="K16" s="1"/>
      <c r="L16" s="1"/>
      <c r="M16" s="1"/>
      <c r="N16" s="1"/>
      <c r="O16" s="1"/>
      <c r="P16" s="1"/>
      <c r="Q16" s="69"/>
      <c r="R16" s="6"/>
      <c r="S16" s="16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53"/>
      <c r="ET16" s="136"/>
    </row>
    <row r="17" spans="1:150" ht="15.65" customHeight="1" x14ac:dyDescent="0.35">
      <c r="A17" s="132"/>
      <c r="B17" s="119"/>
      <c r="C17" s="162"/>
      <c r="D17" s="166" t="s">
        <v>66</v>
      </c>
      <c r="E17" s="167"/>
      <c r="F17" s="168">
        <f>SUM(F18:F24)</f>
        <v>32023</v>
      </c>
      <c r="G17" s="323">
        <f t="shared" ref="G17:P17" si="0">SUM(G18:G24)</f>
        <v>319</v>
      </c>
      <c r="H17" s="323">
        <f t="shared" si="0"/>
        <v>14</v>
      </c>
      <c r="I17" s="323">
        <f t="shared" si="0"/>
        <v>11</v>
      </c>
      <c r="J17" s="323">
        <f t="shared" si="0"/>
        <v>56</v>
      </c>
      <c r="K17" s="323">
        <f t="shared" si="0"/>
        <v>77</v>
      </c>
      <c r="L17" s="323">
        <f t="shared" si="0"/>
        <v>0</v>
      </c>
      <c r="M17" s="323">
        <f t="shared" si="0"/>
        <v>0</v>
      </c>
      <c r="N17" s="323">
        <f t="shared" si="0"/>
        <v>0</v>
      </c>
      <c r="O17" s="323">
        <f t="shared" si="0"/>
        <v>77</v>
      </c>
      <c r="P17" s="324">
        <f t="shared" si="0"/>
        <v>84</v>
      </c>
      <c r="Q17" s="69"/>
      <c r="R17" s="6"/>
      <c r="S17" s="16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53"/>
      <c r="ET17" s="136"/>
    </row>
    <row r="18" spans="1:150" ht="15.65" customHeight="1" x14ac:dyDescent="0.35">
      <c r="A18" s="132"/>
      <c r="B18" s="119"/>
      <c r="C18" s="162"/>
      <c r="D18" s="169" t="s">
        <v>67</v>
      </c>
      <c r="E18" s="7"/>
      <c r="F18" s="170">
        <f>H18*'Scope and Scaling Factors'!$Q$20+I18*'Resource Plan - Rapid'!$J$32+'Project Plan - Rapid'!J18*'Scope and Scaling Factors'!$R$20+'Project Plan - Rapid'!K18*'Scope and Scaling Factors'!$S$20+'Project Plan - Rapid'!L18*'Scope and Scaling Factors'!$T$20+'Project Plan - Rapid'!M18*'Scope and Scaling Factors'!$U$20+'Project Plan - Rapid'!N18*'Scope and Scaling Factors'!$V$20+'Project Plan - Rapid'!O18*'Scope and Scaling Factors'!$W$20+'Project Plan - Rapid'!P18*'Scope and Scaling Factors'!$X$20</f>
        <v>4648</v>
      </c>
      <c r="G18" s="325">
        <f>SUM(H18:P18)</f>
        <v>46</v>
      </c>
      <c r="H18" s="325">
        <v>2</v>
      </c>
      <c r="I18" s="325">
        <v>2</v>
      </c>
      <c r="J18" s="325">
        <v>8</v>
      </c>
      <c r="K18" s="325">
        <v>11</v>
      </c>
      <c r="L18" s="325"/>
      <c r="M18" s="325"/>
      <c r="N18" s="325"/>
      <c r="O18" s="325">
        <v>11</v>
      </c>
      <c r="P18" s="326">
        <v>12</v>
      </c>
      <c r="Q18" s="69"/>
      <c r="R18" s="6"/>
      <c r="S18" s="16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53"/>
      <c r="ET18" s="136"/>
    </row>
    <row r="19" spans="1:150" ht="15.65" customHeight="1" x14ac:dyDescent="0.35">
      <c r="A19" s="132"/>
      <c r="B19" s="119"/>
      <c r="C19" s="162"/>
      <c r="D19" s="169" t="s">
        <v>68</v>
      </c>
      <c r="E19" s="7"/>
      <c r="F19" s="170">
        <f>H19*'Scope and Scaling Factors'!$Q$20+I19*'Resource Plan - Rapid'!$J$32+'Project Plan - Rapid'!J19*'Scope and Scaling Factors'!$R$20+'Project Plan - Rapid'!K19*'Scope and Scaling Factors'!$S$20+'Project Plan - Rapid'!L19*'Scope and Scaling Factors'!$T$20+'Project Plan - Rapid'!M19*'Scope and Scaling Factors'!$U$20+'Project Plan - Rapid'!N19*'Scope and Scaling Factors'!$V$20+'Project Plan - Rapid'!O19*'Scope and Scaling Factors'!$W$20+'Project Plan - Rapid'!P19*'Scope and Scaling Factors'!$X$20</f>
        <v>4306</v>
      </c>
      <c r="G19" s="325">
        <f t="shared" ref="G19:G24" si="1">SUM(H19:P19)</f>
        <v>44</v>
      </c>
      <c r="H19" s="325">
        <v>2</v>
      </c>
      <c r="I19" s="325"/>
      <c r="J19" s="325">
        <v>8</v>
      </c>
      <c r="K19" s="325">
        <v>11</v>
      </c>
      <c r="L19" s="325"/>
      <c r="M19" s="325"/>
      <c r="N19" s="325"/>
      <c r="O19" s="325">
        <v>11</v>
      </c>
      <c r="P19" s="326">
        <v>12</v>
      </c>
      <c r="Q19" s="69"/>
      <c r="R19" s="6"/>
      <c r="S19" s="16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53"/>
      <c r="ET19" s="136"/>
    </row>
    <row r="20" spans="1:150" ht="15.65" customHeight="1" x14ac:dyDescent="0.35">
      <c r="A20" s="132"/>
      <c r="B20" s="172"/>
      <c r="C20" s="162"/>
      <c r="D20" s="169" t="s">
        <v>69</v>
      </c>
      <c r="E20" s="7"/>
      <c r="F20" s="170">
        <f>H20*'Scope and Scaling Factors'!$Q$20+I20*'Resource Plan - Rapid'!$J$32+'Project Plan - Rapid'!J20*'Scope and Scaling Factors'!$R$20+'Project Plan - Rapid'!K20*'Scope and Scaling Factors'!$S$20+'Project Plan - Rapid'!L20*'Scope and Scaling Factors'!$T$20+'Project Plan - Rapid'!M20*'Scope and Scaling Factors'!$U$20+'Project Plan - Rapid'!N20*'Scope and Scaling Factors'!$V$20+'Project Plan - Rapid'!O20*'Scope and Scaling Factors'!$W$20+'Project Plan - Rapid'!P20*'Scope and Scaling Factors'!$X$20</f>
        <v>4648</v>
      </c>
      <c r="G20" s="325">
        <f t="shared" si="1"/>
        <v>46</v>
      </c>
      <c r="H20" s="325">
        <v>2</v>
      </c>
      <c r="I20" s="325">
        <v>2</v>
      </c>
      <c r="J20" s="325">
        <v>8</v>
      </c>
      <c r="K20" s="325">
        <v>11</v>
      </c>
      <c r="L20" s="325"/>
      <c r="M20" s="325"/>
      <c r="N20" s="325"/>
      <c r="O20" s="325">
        <v>11</v>
      </c>
      <c r="P20" s="326">
        <v>12</v>
      </c>
      <c r="Q20" s="69"/>
      <c r="R20" s="6"/>
      <c r="S20" s="16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53"/>
      <c r="ET20" s="136"/>
    </row>
    <row r="21" spans="1:150" ht="15.65" customHeight="1" x14ac:dyDescent="0.35">
      <c r="A21" s="132"/>
      <c r="B21" s="172"/>
      <c r="C21" s="162"/>
      <c r="D21" s="169" t="s">
        <v>70</v>
      </c>
      <c r="E21" s="7"/>
      <c r="F21" s="170">
        <f>H21*'Scope and Scaling Factors'!$Q$20+I21*'Resource Plan - Rapid'!$J$32+'Project Plan - Rapid'!J21*'Scope and Scaling Factors'!$R$20+'Project Plan - Rapid'!K21*'Scope and Scaling Factors'!$S$20+'Project Plan - Rapid'!L21*'Scope and Scaling Factors'!$T$20+'Project Plan - Rapid'!M21*'Scope and Scaling Factors'!$U$20+'Project Plan - Rapid'!N21*'Scope and Scaling Factors'!$V$20+'Project Plan - Rapid'!O21*'Scope and Scaling Factors'!$W$20+'Project Plan - Rapid'!P21*'Scope and Scaling Factors'!$X$20</f>
        <v>4648</v>
      </c>
      <c r="G21" s="325">
        <f t="shared" si="1"/>
        <v>46</v>
      </c>
      <c r="H21" s="325">
        <v>2</v>
      </c>
      <c r="I21" s="325">
        <v>2</v>
      </c>
      <c r="J21" s="325">
        <v>8</v>
      </c>
      <c r="K21" s="325">
        <v>11</v>
      </c>
      <c r="L21" s="325"/>
      <c r="M21" s="325"/>
      <c r="N21" s="325"/>
      <c r="O21" s="325">
        <v>11</v>
      </c>
      <c r="P21" s="326">
        <v>12</v>
      </c>
      <c r="Q21" s="69"/>
      <c r="R21" s="6"/>
      <c r="S21" s="16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53"/>
      <c r="ET21" s="136"/>
    </row>
    <row r="22" spans="1:150" ht="15.65" customHeight="1" x14ac:dyDescent="0.35">
      <c r="A22" s="132"/>
      <c r="B22" s="172"/>
      <c r="C22" s="162"/>
      <c r="D22" s="169" t="s">
        <v>71</v>
      </c>
      <c r="E22" s="7"/>
      <c r="F22" s="170">
        <f>H22*'Scope and Scaling Factors'!$Q$20+I22*'Resource Plan - Rapid'!$J$32+'Project Plan - Rapid'!J22*'Scope and Scaling Factors'!$R$20+'Project Plan - Rapid'!K22*'Scope and Scaling Factors'!$S$20+'Project Plan - Rapid'!L22*'Scope and Scaling Factors'!$T$20+'Project Plan - Rapid'!M22*'Scope and Scaling Factors'!$U$20+'Project Plan - Rapid'!N22*'Scope and Scaling Factors'!$V$20+'Project Plan - Rapid'!O22*'Scope and Scaling Factors'!$W$20+'Project Plan - Rapid'!P22*'Scope and Scaling Factors'!$X$20</f>
        <v>4648</v>
      </c>
      <c r="G22" s="325">
        <f t="shared" si="1"/>
        <v>46</v>
      </c>
      <c r="H22" s="325">
        <v>2</v>
      </c>
      <c r="I22" s="325">
        <v>2</v>
      </c>
      <c r="J22" s="325">
        <v>8</v>
      </c>
      <c r="K22" s="325">
        <v>11</v>
      </c>
      <c r="L22" s="325"/>
      <c r="M22" s="325"/>
      <c r="N22" s="325"/>
      <c r="O22" s="325">
        <v>11</v>
      </c>
      <c r="P22" s="326">
        <v>12</v>
      </c>
      <c r="Q22" s="69"/>
      <c r="R22" s="6"/>
      <c r="S22" s="16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53"/>
      <c r="ET22" s="136"/>
    </row>
    <row r="23" spans="1:150" ht="15.65" customHeight="1" x14ac:dyDescent="0.35">
      <c r="A23" s="132"/>
      <c r="B23" s="172"/>
      <c r="C23" s="162"/>
      <c r="D23" s="169" t="s">
        <v>72</v>
      </c>
      <c r="E23" s="7"/>
      <c r="F23" s="170">
        <f>H23*'Scope and Scaling Factors'!$Q$20+I23*'Resource Plan - Rapid'!$J$32+'Project Plan - Rapid'!J23*'Scope and Scaling Factors'!$R$20+'Project Plan - Rapid'!K23*'Scope and Scaling Factors'!$S$20+'Project Plan - Rapid'!L23*'Scope and Scaling Factors'!$T$20+'Project Plan - Rapid'!M23*'Scope and Scaling Factors'!$U$20+'Project Plan - Rapid'!N23*'Scope and Scaling Factors'!$V$20+'Project Plan - Rapid'!O23*'Scope and Scaling Factors'!$W$20+'Project Plan - Rapid'!P23*'Scope and Scaling Factors'!$X$20</f>
        <v>4306</v>
      </c>
      <c r="G23" s="325">
        <f t="shared" si="1"/>
        <v>44</v>
      </c>
      <c r="H23" s="325">
        <v>2</v>
      </c>
      <c r="I23" s="325"/>
      <c r="J23" s="325">
        <v>8</v>
      </c>
      <c r="K23" s="325">
        <v>11</v>
      </c>
      <c r="L23" s="325"/>
      <c r="M23" s="325"/>
      <c r="N23" s="325"/>
      <c r="O23" s="325">
        <v>11</v>
      </c>
      <c r="P23" s="326">
        <v>12</v>
      </c>
      <c r="Q23" s="69"/>
      <c r="R23" s="6"/>
      <c r="S23" s="16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53"/>
      <c r="ET23" s="136"/>
    </row>
    <row r="24" spans="1:150" ht="15.65" customHeight="1" x14ac:dyDescent="0.35">
      <c r="A24" s="132"/>
      <c r="B24" s="172"/>
      <c r="C24" s="162"/>
      <c r="D24" s="173" t="s">
        <v>73</v>
      </c>
      <c r="E24" s="174"/>
      <c r="F24" s="175">
        <f>H24*'Scope and Scaling Factors'!$Q$20+I24*'Resource Plan - Rapid'!$J$32+'Project Plan - Rapid'!J24*'Scope and Scaling Factors'!$R$20+'Project Plan - Rapid'!K24*'Scope and Scaling Factors'!$S$20+'Project Plan - Rapid'!L24*'Scope and Scaling Factors'!$T$20+'Project Plan - Rapid'!M24*'Scope and Scaling Factors'!$U$20+'Project Plan - Rapid'!N24*'Scope and Scaling Factors'!$V$20+'Project Plan - Rapid'!O24*'Scope and Scaling Factors'!$W$20+'Project Plan - Rapid'!P24*'Scope and Scaling Factors'!$X$20</f>
        <v>4819</v>
      </c>
      <c r="G24" s="327">
        <f t="shared" si="1"/>
        <v>47</v>
      </c>
      <c r="H24" s="325">
        <v>2</v>
      </c>
      <c r="I24" s="325">
        <v>3</v>
      </c>
      <c r="J24" s="325">
        <v>8</v>
      </c>
      <c r="K24" s="325">
        <v>11</v>
      </c>
      <c r="L24" s="325"/>
      <c r="M24" s="325"/>
      <c r="N24" s="325"/>
      <c r="O24" s="325">
        <v>11</v>
      </c>
      <c r="P24" s="326">
        <v>12</v>
      </c>
      <c r="Q24" s="69"/>
      <c r="R24" s="6"/>
      <c r="S24" s="16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53"/>
      <c r="ET24" s="136"/>
    </row>
    <row r="25" spans="1:150" ht="15.65" customHeight="1" x14ac:dyDescent="0.35">
      <c r="A25" s="132"/>
      <c r="B25" s="119"/>
      <c r="C25" s="162"/>
      <c r="D25" s="177"/>
      <c r="E25" s="1"/>
      <c r="F25" s="179"/>
      <c r="G25" s="328"/>
      <c r="H25" s="329"/>
      <c r="I25" s="329"/>
      <c r="J25" s="329"/>
      <c r="K25" s="329"/>
      <c r="L25" s="329"/>
      <c r="M25" s="329"/>
      <c r="N25" s="329"/>
      <c r="O25" s="329"/>
      <c r="P25" s="329"/>
      <c r="Q25" s="69"/>
      <c r="R25" s="6"/>
      <c r="S25" s="16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53"/>
      <c r="ET25" s="136"/>
    </row>
    <row r="26" spans="1:150" ht="15.65" customHeight="1" x14ac:dyDescent="0.35">
      <c r="A26" s="132"/>
      <c r="B26" s="119"/>
      <c r="C26" s="162"/>
      <c r="D26" s="166" t="s">
        <v>74</v>
      </c>
      <c r="E26" s="167"/>
      <c r="F26" s="168">
        <f t="shared" ref="F26:P26" si="2">SUM(F27:F33)</f>
        <v>35303</v>
      </c>
      <c r="G26" s="323">
        <f t="shared" si="2"/>
        <v>357</v>
      </c>
      <c r="H26" s="323">
        <f t="shared" si="2"/>
        <v>16</v>
      </c>
      <c r="I26" s="323">
        <f t="shared" si="2"/>
        <v>5</v>
      </c>
      <c r="J26" s="323">
        <f t="shared" si="2"/>
        <v>64</v>
      </c>
      <c r="K26" s="323">
        <f t="shared" si="2"/>
        <v>88</v>
      </c>
      <c r="L26" s="323">
        <f t="shared" si="2"/>
        <v>0</v>
      </c>
      <c r="M26" s="323">
        <f t="shared" si="2"/>
        <v>0</v>
      </c>
      <c r="N26" s="323">
        <f t="shared" si="2"/>
        <v>0</v>
      </c>
      <c r="O26" s="323">
        <f t="shared" si="2"/>
        <v>88</v>
      </c>
      <c r="P26" s="324">
        <f t="shared" si="2"/>
        <v>96</v>
      </c>
      <c r="Q26" s="69"/>
      <c r="R26" s="6"/>
      <c r="S26" s="16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53"/>
      <c r="ET26" s="136"/>
    </row>
    <row r="27" spans="1:150" ht="15.65" customHeight="1" x14ac:dyDescent="0.35">
      <c r="A27" s="132"/>
      <c r="B27" s="119"/>
      <c r="C27" s="162"/>
      <c r="D27" s="169" t="s">
        <v>75</v>
      </c>
      <c r="E27" s="7"/>
      <c r="F27" s="170">
        <f>H27*'Scope and Scaling Factors'!$Q$20+I27*'Resource Plan - Rapid'!$J$32+'Project Plan - Rapid'!J27*'Scope and Scaling Factors'!$R$20+'Project Plan - Rapid'!K27*'Scope and Scaling Factors'!$S$20+'Project Plan - Rapid'!L27*'Scope and Scaling Factors'!$T$20+'Project Plan - Rapid'!M27*'Scope and Scaling Factors'!$U$20+'Project Plan - Rapid'!N27*'Scope and Scaling Factors'!$V$20+'Project Plan - Rapid'!O27*'Scope and Scaling Factors'!$W$20+'Project Plan - Rapid'!P27*'Scope and Scaling Factors'!$X$20</f>
        <v>4648</v>
      </c>
      <c r="G27" s="325">
        <f>SUM(H27:P27)</f>
        <v>46</v>
      </c>
      <c r="H27" s="325">
        <v>2</v>
      </c>
      <c r="I27" s="325">
        <v>2</v>
      </c>
      <c r="J27" s="325">
        <v>8</v>
      </c>
      <c r="K27" s="325">
        <v>11</v>
      </c>
      <c r="L27" s="325"/>
      <c r="M27" s="325"/>
      <c r="N27" s="325"/>
      <c r="O27" s="325">
        <v>11</v>
      </c>
      <c r="P27" s="326">
        <v>12</v>
      </c>
      <c r="Q27" s="69"/>
      <c r="R27" s="6"/>
      <c r="S27" s="16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53"/>
      <c r="ET27" s="136"/>
    </row>
    <row r="28" spans="1:150" ht="15.65" customHeight="1" x14ac:dyDescent="0.35">
      <c r="A28" s="132"/>
      <c r="B28" s="119"/>
      <c r="C28" s="162"/>
      <c r="D28" s="169" t="s">
        <v>76</v>
      </c>
      <c r="E28" s="7"/>
      <c r="F28" s="170">
        <f>H28*'Scope and Scaling Factors'!$Q$20+I28*'Resource Plan - Rapid'!$J$32+'Project Plan - Rapid'!J28*'Scope and Scaling Factors'!$R$20+'Project Plan - Rapid'!K28*'Scope and Scaling Factors'!$S$20+'Project Plan - Rapid'!L28*'Scope and Scaling Factors'!$T$20+'Project Plan - Rapid'!M28*'Scope and Scaling Factors'!$U$20+'Project Plan - Rapid'!N28*'Scope and Scaling Factors'!$V$20+'Project Plan - Rapid'!O28*'Scope and Scaling Factors'!$W$20+'Project Plan - Rapid'!P28*'Scope and Scaling Factors'!$X$20</f>
        <v>4306</v>
      </c>
      <c r="G28" s="325">
        <f t="shared" ref="G28:G33" si="3">SUM(H28:P28)</f>
        <v>44</v>
      </c>
      <c r="H28" s="325">
        <v>2</v>
      </c>
      <c r="I28" s="325"/>
      <c r="J28" s="325">
        <v>8</v>
      </c>
      <c r="K28" s="325">
        <v>11</v>
      </c>
      <c r="L28" s="325"/>
      <c r="M28" s="325"/>
      <c r="N28" s="325"/>
      <c r="O28" s="325">
        <v>11</v>
      </c>
      <c r="P28" s="326">
        <v>12</v>
      </c>
      <c r="Q28" s="69"/>
      <c r="R28" s="6"/>
      <c r="S28" s="16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53"/>
      <c r="ET28" s="136"/>
    </row>
    <row r="29" spans="1:150" ht="15.65" customHeight="1" x14ac:dyDescent="0.35">
      <c r="A29" s="132"/>
      <c r="B29" s="119"/>
      <c r="C29" s="162"/>
      <c r="D29" s="169" t="s">
        <v>77</v>
      </c>
      <c r="E29" s="7"/>
      <c r="F29" s="170">
        <f>H29*'Scope and Scaling Factors'!$Q$20+I29*'Resource Plan - Rapid'!$J$32+'Project Plan - Rapid'!J29*'Scope and Scaling Factors'!$R$20+'Project Plan - Rapid'!K29*'Scope and Scaling Factors'!$S$20+'Project Plan - Rapid'!L29*'Scope and Scaling Factors'!$T$20+'Project Plan - Rapid'!M29*'Scope and Scaling Factors'!$U$20+'Project Plan - Rapid'!N29*'Scope and Scaling Factors'!$V$20+'Project Plan - Rapid'!O29*'Scope and Scaling Factors'!$W$20+'Project Plan - Rapid'!P29*'Scope and Scaling Factors'!$X$20</f>
        <v>4306</v>
      </c>
      <c r="G29" s="325">
        <f t="shared" si="3"/>
        <v>44</v>
      </c>
      <c r="H29" s="325">
        <v>2</v>
      </c>
      <c r="I29" s="325"/>
      <c r="J29" s="325">
        <v>8</v>
      </c>
      <c r="K29" s="325">
        <v>11</v>
      </c>
      <c r="L29" s="325"/>
      <c r="M29" s="325"/>
      <c r="N29" s="325"/>
      <c r="O29" s="325">
        <v>11</v>
      </c>
      <c r="P29" s="326">
        <v>12</v>
      </c>
      <c r="Q29" s="69"/>
      <c r="R29" s="6"/>
      <c r="S29" s="16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53"/>
      <c r="ET29" s="136"/>
    </row>
    <row r="30" spans="1:150" ht="15.65" customHeight="1" x14ac:dyDescent="0.35">
      <c r="A30" s="132"/>
      <c r="B30" s="119"/>
      <c r="C30" s="162"/>
      <c r="D30" s="169" t="s">
        <v>78</v>
      </c>
      <c r="E30" s="7"/>
      <c r="F30" s="170">
        <f>H30*'Scope and Scaling Factors'!$Q$20+I30*'Resource Plan - Rapid'!$J$32+'Project Plan - Rapid'!J30*'Scope and Scaling Factors'!$R$20+'Project Plan - Rapid'!K30*'Scope and Scaling Factors'!$S$20+'Project Plan - Rapid'!L30*'Scope and Scaling Factors'!$T$20+'Project Plan - Rapid'!M30*'Scope and Scaling Factors'!$U$20+'Project Plan - Rapid'!N30*'Scope and Scaling Factors'!$V$20+'Project Plan - Rapid'!O30*'Scope and Scaling Factors'!$W$20+'Project Plan - Rapid'!P30*'Scope and Scaling Factors'!$X$20</f>
        <v>4306</v>
      </c>
      <c r="G30" s="325">
        <f t="shared" si="3"/>
        <v>44</v>
      </c>
      <c r="H30" s="325">
        <v>2</v>
      </c>
      <c r="I30" s="325"/>
      <c r="J30" s="325">
        <v>8</v>
      </c>
      <c r="K30" s="325">
        <v>11</v>
      </c>
      <c r="L30" s="325"/>
      <c r="M30" s="325"/>
      <c r="N30" s="325"/>
      <c r="O30" s="325">
        <v>11</v>
      </c>
      <c r="P30" s="326">
        <v>12</v>
      </c>
      <c r="Q30" s="69"/>
      <c r="R30" s="6"/>
      <c r="S30" s="16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53"/>
      <c r="ET30" s="136"/>
    </row>
    <row r="31" spans="1:150" ht="15.65" customHeight="1" x14ac:dyDescent="0.35">
      <c r="A31" s="132"/>
      <c r="B31" s="119"/>
      <c r="C31" s="162"/>
      <c r="D31" s="169" t="s">
        <v>79</v>
      </c>
      <c r="E31" s="7"/>
      <c r="F31" s="170">
        <f>H31*'Scope and Scaling Factors'!$Q$20+I31*'Resource Plan - Rapid'!$J$32+'Project Plan - Rapid'!J31*'Scope and Scaling Factors'!$R$20+'Project Plan - Rapid'!K31*'Scope and Scaling Factors'!$S$20+'Project Plan - Rapid'!L31*'Scope and Scaling Factors'!$T$20+'Project Plan - Rapid'!M31*'Scope and Scaling Factors'!$U$20+'Project Plan - Rapid'!N31*'Scope and Scaling Factors'!$V$20+'Project Plan - Rapid'!O31*'Scope and Scaling Factors'!$W$20+'Project Plan - Rapid'!P31*'Scope and Scaling Factors'!$X$20</f>
        <v>4819</v>
      </c>
      <c r="G31" s="325">
        <f t="shared" si="3"/>
        <v>47</v>
      </c>
      <c r="H31" s="325">
        <v>2</v>
      </c>
      <c r="I31" s="325">
        <v>3</v>
      </c>
      <c r="J31" s="325">
        <v>8</v>
      </c>
      <c r="K31" s="325">
        <v>11</v>
      </c>
      <c r="L31" s="325"/>
      <c r="M31" s="325"/>
      <c r="N31" s="325"/>
      <c r="O31" s="325">
        <v>11</v>
      </c>
      <c r="P31" s="326">
        <v>12</v>
      </c>
      <c r="Q31" s="69"/>
      <c r="R31" s="6"/>
      <c r="S31" s="16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53"/>
      <c r="ET31" s="136"/>
    </row>
    <row r="32" spans="1:150" ht="15.65" customHeight="1" x14ac:dyDescent="0.35">
      <c r="A32" s="132"/>
      <c r="B32" s="119"/>
      <c r="C32" s="162"/>
      <c r="D32" s="169" t="s">
        <v>80</v>
      </c>
      <c r="E32" s="7"/>
      <c r="F32" s="170">
        <f>H32*'Scope and Scaling Factors'!$Q$20+I32*'Resource Plan - Rapid'!$J$32+'Project Plan - Rapid'!J32*'Scope and Scaling Factors'!$R$20+'Project Plan - Rapid'!K32*'Scope and Scaling Factors'!$S$20+'Project Plan - Rapid'!L32*'Scope and Scaling Factors'!$T$20+'Project Plan - Rapid'!M32*'Scope and Scaling Factors'!$U$20+'Project Plan - Rapid'!N32*'Scope and Scaling Factors'!$V$20+'Project Plan - Rapid'!O32*'Scope and Scaling Factors'!$W$20+'Project Plan - Rapid'!P32*'Scope and Scaling Factors'!$X$20</f>
        <v>4306</v>
      </c>
      <c r="G32" s="325">
        <f t="shared" si="3"/>
        <v>44</v>
      </c>
      <c r="H32" s="325">
        <v>2</v>
      </c>
      <c r="I32" s="325"/>
      <c r="J32" s="325">
        <v>8</v>
      </c>
      <c r="K32" s="325">
        <v>11</v>
      </c>
      <c r="L32" s="325"/>
      <c r="M32" s="325"/>
      <c r="N32" s="325"/>
      <c r="O32" s="325">
        <v>11</v>
      </c>
      <c r="P32" s="326">
        <v>12</v>
      </c>
      <c r="Q32" s="69"/>
      <c r="R32" s="6"/>
      <c r="S32" s="16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53"/>
      <c r="ET32" s="136"/>
    </row>
    <row r="33" spans="1:150" ht="15.65" customHeight="1" x14ac:dyDescent="0.35">
      <c r="A33" s="132"/>
      <c r="B33" s="119"/>
      <c r="C33" s="162"/>
      <c r="D33" s="173" t="s">
        <v>81</v>
      </c>
      <c r="E33" s="174"/>
      <c r="F33" s="175">
        <f>H33*'Scope and Scaling Factors'!$Q$20+I33*'Resource Plan - Rapid'!$J$32+'Project Plan - Rapid'!J33*'Scope and Scaling Factors'!$R$20+'Project Plan - Rapid'!K33*'Scope and Scaling Factors'!$S$20+'Project Plan - Rapid'!L33*'Scope and Scaling Factors'!$T$20+'Project Plan - Rapid'!M33*'Scope and Scaling Factors'!$U$20+'Project Plan - Rapid'!N33*'Scope and Scaling Factors'!$V$20+'Project Plan - Rapid'!O33*'Scope and Scaling Factors'!$W$20+'Project Plan - Rapid'!P33*'Scope and Scaling Factors'!$X$20</f>
        <v>8612</v>
      </c>
      <c r="G33" s="327">
        <f t="shared" si="3"/>
        <v>88</v>
      </c>
      <c r="H33" s="327">
        <v>4</v>
      </c>
      <c r="I33" s="327"/>
      <c r="J33" s="327">
        <v>16</v>
      </c>
      <c r="K33" s="327">
        <v>22</v>
      </c>
      <c r="L33" s="327"/>
      <c r="M33" s="327"/>
      <c r="N33" s="327"/>
      <c r="O33" s="327">
        <v>22</v>
      </c>
      <c r="P33" s="330">
        <v>24</v>
      </c>
      <c r="Q33" s="69"/>
      <c r="R33" s="6"/>
      <c r="S33" s="16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53"/>
      <c r="ET33" s="136"/>
    </row>
    <row r="34" spans="1:150" ht="15.65" customHeight="1" x14ac:dyDescent="0.35">
      <c r="A34" s="132"/>
      <c r="B34" s="119"/>
      <c r="C34" s="162"/>
      <c r="D34" s="1"/>
      <c r="E34" s="1"/>
      <c r="F34" s="178"/>
      <c r="G34" s="179"/>
      <c r="H34" s="179"/>
      <c r="I34" s="179"/>
      <c r="J34" s="179"/>
      <c r="K34" s="179"/>
      <c r="L34" s="179"/>
      <c r="M34" s="179"/>
      <c r="N34" s="179"/>
      <c r="O34" s="179"/>
      <c r="P34" s="179"/>
      <c r="Q34" s="69"/>
      <c r="R34" s="6"/>
      <c r="S34" s="16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53"/>
      <c r="ET34" s="136"/>
    </row>
    <row r="35" spans="1:150" ht="15.65" customHeight="1" x14ac:dyDescent="0.35">
      <c r="A35" s="132"/>
      <c r="B35" s="119"/>
      <c r="C35" s="162"/>
      <c r="D35" s="1"/>
      <c r="E35" s="1"/>
      <c r="F35" s="178"/>
      <c r="G35" s="179"/>
      <c r="H35" s="179"/>
      <c r="I35" s="179"/>
      <c r="J35" s="179"/>
      <c r="K35" s="179"/>
      <c r="L35" s="179"/>
      <c r="M35" s="179"/>
      <c r="N35" s="179"/>
      <c r="O35" s="179"/>
      <c r="P35" s="179"/>
      <c r="Q35" s="69"/>
      <c r="R35" s="6"/>
      <c r="S35" s="16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53"/>
      <c r="ET35" s="136"/>
    </row>
    <row r="36" spans="1:150" ht="15.65" customHeight="1" x14ac:dyDescent="0.35">
      <c r="A36" s="132"/>
      <c r="B36" s="119"/>
      <c r="C36" s="162"/>
      <c r="D36" s="180" t="s">
        <v>82</v>
      </c>
      <c r="E36" s="181"/>
      <c r="F36" s="182">
        <f>H36*'Scope and Scaling Factors'!$Q$20+I36*'Resource Plan - Rapid'!$J$32+'Project Plan - Rapid'!J36*'Scope and Scaling Factors'!$R$20+'Project Plan - Rapid'!K36*'Scope and Scaling Factors'!$S$20+'Project Plan - Rapid'!L36*'Scope and Scaling Factors'!$T$20+'Project Plan - Rapid'!M36*'Scope and Scaling Factors'!$U$20+'Project Plan - Rapid'!N36*'Scope and Scaling Factors'!$V$20+'Project Plan - Rapid'!O36*'Scope and Scaling Factors'!$W$20+'Project Plan - Rapid'!P36*'Scope and Scaling Factors'!$X$20</f>
        <v>7050</v>
      </c>
      <c r="G36" s="184">
        <f>SUM(H36:P36)</f>
        <v>44</v>
      </c>
      <c r="H36" s="184">
        <v>6</v>
      </c>
      <c r="I36" s="184"/>
      <c r="J36" s="184">
        <v>8</v>
      </c>
      <c r="K36" s="184">
        <v>15</v>
      </c>
      <c r="L36" s="184"/>
      <c r="M36" s="184"/>
      <c r="N36" s="184"/>
      <c r="O36" s="184">
        <v>15</v>
      </c>
      <c r="P36" s="183"/>
      <c r="Q36" s="69"/>
      <c r="R36" s="6"/>
      <c r="S36" s="16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53"/>
      <c r="ET36" s="136"/>
    </row>
    <row r="37" spans="1:150" ht="15.65" customHeight="1" x14ac:dyDescent="0.35">
      <c r="A37" s="132"/>
      <c r="B37" s="119"/>
      <c r="C37" s="162"/>
      <c r="D37" s="1"/>
      <c r="E37" s="1"/>
      <c r="F37" s="178"/>
      <c r="G37" s="1"/>
      <c r="H37" s="1"/>
      <c r="I37" s="1"/>
      <c r="J37" s="1"/>
      <c r="K37" s="1"/>
      <c r="L37" s="1"/>
      <c r="M37" s="1"/>
      <c r="N37" s="1"/>
      <c r="O37" s="1"/>
      <c r="P37" s="1"/>
      <c r="Q37" s="69"/>
      <c r="R37" s="6"/>
      <c r="S37" s="16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53"/>
      <c r="ET37" s="136"/>
    </row>
    <row r="38" spans="1:150" ht="15.65" customHeight="1" x14ac:dyDescent="0.35">
      <c r="A38" s="132"/>
      <c r="B38" s="119"/>
      <c r="C38" s="162"/>
      <c r="D38" s="1"/>
      <c r="E38" s="1"/>
      <c r="F38" s="178"/>
      <c r="G38" s="1"/>
      <c r="H38" s="1"/>
      <c r="I38" s="1"/>
      <c r="J38" s="1"/>
      <c r="K38" s="1"/>
      <c r="L38" s="1"/>
      <c r="M38" s="1"/>
      <c r="N38" s="1"/>
      <c r="O38" s="1"/>
      <c r="P38" s="1"/>
      <c r="Q38" s="69"/>
      <c r="R38" s="6"/>
      <c r="S38" s="16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53"/>
      <c r="ET38" s="136"/>
    </row>
    <row r="39" spans="1:150" ht="15.65" customHeight="1" x14ac:dyDescent="0.35">
      <c r="A39" s="132"/>
      <c r="B39" s="119"/>
      <c r="C39" s="162"/>
      <c r="D39" s="185" t="s">
        <v>83</v>
      </c>
      <c r="E39" s="1"/>
      <c r="F39" s="186">
        <f t="shared" ref="F39:P39" si="4">F17+F26+F36</f>
        <v>74376</v>
      </c>
      <c r="G39" s="337">
        <f t="shared" si="4"/>
        <v>720</v>
      </c>
      <c r="H39" s="337">
        <f t="shared" si="4"/>
        <v>36</v>
      </c>
      <c r="I39" s="337">
        <f t="shared" si="4"/>
        <v>16</v>
      </c>
      <c r="J39" s="337">
        <f t="shared" si="4"/>
        <v>128</v>
      </c>
      <c r="K39" s="337">
        <f t="shared" si="4"/>
        <v>180</v>
      </c>
      <c r="L39" s="337">
        <f t="shared" si="4"/>
        <v>0</v>
      </c>
      <c r="M39" s="337">
        <f t="shared" si="4"/>
        <v>0</v>
      </c>
      <c r="N39" s="337">
        <f t="shared" si="4"/>
        <v>0</v>
      </c>
      <c r="O39" s="337">
        <f t="shared" si="4"/>
        <v>180</v>
      </c>
      <c r="P39" s="337">
        <f t="shared" si="4"/>
        <v>180</v>
      </c>
      <c r="Q39" s="69"/>
      <c r="R39" s="6"/>
      <c r="S39" s="16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53"/>
      <c r="ET39" s="136"/>
    </row>
    <row r="40" spans="1:150" ht="15.65" customHeight="1" x14ac:dyDescent="0.35">
      <c r="A40" s="132"/>
      <c r="B40" s="119"/>
      <c r="C40" s="162"/>
      <c r="D40" s="1"/>
      <c r="E40" s="1"/>
      <c r="F40" s="187"/>
      <c r="G40" s="1"/>
      <c r="H40" s="1"/>
      <c r="I40" s="188"/>
      <c r="J40" s="188"/>
      <c r="K40" s="188"/>
      <c r="L40" s="188"/>
      <c r="M40" s="188"/>
      <c r="N40" s="188"/>
      <c r="O40" s="188"/>
      <c r="P40" s="188"/>
      <c r="Q40" s="69"/>
      <c r="R40" s="6"/>
      <c r="S40" s="16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53"/>
      <c r="ET40" s="136"/>
    </row>
    <row r="41" spans="1:150" ht="15.65" customHeight="1" x14ac:dyDescent="0.35">
      <c r="A41" s="132"/>
      <c r="B41" s="119"/>
      <c r="C41" s="162"/>
      <c r="D41" s="185"/>
      <c r="E41" s="1"/>
      <c r="F41" s="1"/>
      <c r="G41" s="1"/>
      <c r="H41" s="1"/>
      <c r="I41" s="1"/>
      <c r="J41" s="1"/>
      <c r="K41" s="1"/>
      <c r="L41" s="1"/>
      <c r="M41" s="1"/>
      <c r="N41" s="1"/>
      <c r="O41" s="1"/>
      <c r="P41" s="189"/>
      <c r="Q41" s="69"/>
      <c r="R41" s="6"/>
      <c r="S41" s="16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53"/>
      <c r="ET41" s="136"/>
    </row>
    <row r="42" spans="1:150" ht="15.65" customHeight="1" x14ac:dyDescent="0.35">
      <c r="A42" s="132"/>
      <c r="B42" s="119"/>
      <c r="C42" s="162"/>
      <c r="D42" s="1"/>
      <c r="E42" s="1"/>
      <c r="F42" s="1"/>
      <c r="G42" s="1"/>
      <c r="H42" s="1"/>
      <c r="I42" s="1"/>
      <c r="J42" s="1"/>
      <c r="K42" s="1"/>
      <c r="L42" s="1"/>
      <c r="M42" s="1"/>
      <c r="N42" s="1"/>
      <c r="O42" s="1"/>
      <c r="P42" s="1"/>
      <c r="Q42" s="69"/>
      <c r="R42" s="6"/>
      <c r="S42" s="16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53"/>
      <c r="ET42" s="136"/>
    </row>
    <row r="43" spans="1:150" ht="15.65" customHeight="1" x14ac:dyDescent="0.35">
      <c r="A43" s="132"/>
      <c r="B43" s="119"/>
      <c r="C43" s="190"/>
      <c r="D43" s="191"/>
      <c r="E43" s="191"/>
      <c r="F43" s="191"/>
      <c r="G43" s="191"/>
      <c r="H43" s="191"/>
      <c r="I43" s="191"/>
      <c r="J43" s="191"/>
      <c r="K43" s="191"/>
      <c r="L43" s="191"/>
      <c r="M43" s="191"/>
      <c r="N43" s="191"/>
      <c r="O43" s="191"/>
      <c r="P43" s="191"/>
      <c r="Q43" s="192"/>
      <c r="R43" s="6"/>
      <c r="S43" s="16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53"/>
      <c r="ET43" s="136"/>
    </row>
    <row r="44" spans="1:150" ht="15.65" customHeight="1" thickBot="1" x14ac:dyDescent="0.4">
      <c r="A44" s="132"/>
      <c r="B44" s="122"/>
      <c r="C44" s="193"/>
      <c r="D44" s="123"/>
      <c r="E44" s="123"/>
      <c r="F44" s="123"/>
      <c r="G44" s="123"/>
      <c r="H44" s="123"/>
      <c r="I44" s="123"/>
      <c r="J44" s="123"/>
      <c r="K44" s="123"/>
      <c r="L44" s="123"/>
      <c r="M44" s="123"/>
      <c r="N44" s="123"/>
      <c r="O44" s="123"/>
      <c r="P44" s="123"/>
      <c r="Q44" s="194"/>
      <c r="R44" s="15"/>
      <c r="S44" s="16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26"/>
      <c r="ET44" s="136"/>
    </row>
    <row r="45" spans="1:150" ht="15.65" customHeight="1" x14ac:dyDescent="0.3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195"/>
      <c r="AT45" s="195"/>
      <c r="AU45" s="195"/>
      <c r="AV45" s="195"/>
      <c r="AW45" s="195"/>
      <c r="AX45" s="195"/>
      <c r="AY45" s="195"/>
      <c r="AZ45" s="195"/>
      <c r="BA45" s="195"/>
      <c r="BB45" s="195"/>
      <c r="BC45" s="195"/>
      <c r="BD45" s="195"/>
      <c r="BE45" s="195"/>
      <c r="BF45" s="195"/>
      <c r="BG45" s="195"/>
      <c r="BH45" s="195"/>
      <c r="BI45" s="195"/>
      <c r="BJ45" s="195"/>
      <c r="BK45" s="195"/>
      <c r="BL45" s="195"/>
      <c r="BM45" s="195"/>
      <c r="BN45" s="195"/>
      <c r="BO45" s="195"/>
      <c r="BP45" s="195"/>
      <c r="BQ45" s="195"/>
      <c r="BR45" s="195"/>
      <c r="BS45" s="195"/>
      <c r="BT45" s="195"/>
      <c r="BU45" s="195"/>
      <c r="BV45" s="195"/>
      <c r="BW45" s="195"/>
      <c r="BX45" s="195"/>
      <c r="BY45" s="195"/>
      <c r="BZ45" s="195"/>
      <c r="CA45" s="195"/>
      <c r="CB45" s="195"/>
      <c r="CC45" s="195"/>
      <c r="CD45" s="195"/>
      <c r="CE45" s="195"/>
      <c r="CF45" s="195"/>
      <c r="CG45" s="195"/>
      <c r="CH45" s="195"/>
      <c r="CI45" s="195"/>
      <c r="CJ45" s="195"/>
      <c r="CK45" s="195"/>
      <c r="CL45" s="195"/>
      <c r="CM45" s="195"/>
      <c r="CN45" s="195"/>
      <c r="CO45" s="195"/>
      <c r="CP45" s="195"/>
      <c r="CQ45" s="195"/>
      <c r="CR45" s="195"/>
      <c r="CS45" s="195"/>
      <c r="CT45" s="195"/>
      <c r="CU45" s="195"/>
      <c r="CV45" s="195"/>
      <c r="CW45" s="195"/>
      <c r="CX45" s="195"/>
      <c r="CY45" s="195"/>
      <c r="CZ45" s="195"/>
      <c r="DA45" s="195"/>
      <c r="DB45" s="195"/>
      <c r="DC45" s="195"/>
      <c r="DD45" s="195"/>
      <c r="DE45" s="195"/>
      <c r="DF45" s="195"/>
      <c r="DG45" s="195"/>
      <c r="DH45" s="195"/>
      <c r="DI45" s="195"/>
      <c r="DJ45" s="195"/>
      <c r="DK45" s="195"/>
      <c r="DL45" s="195"/>
      <c r="DM45" s="195"/>
      <c r="DN45" s="195"/>
      <c r="DO45" s="195"/>
      <c r="DP45" s="195"/>
      <c r="DQ45" s="195"/>
      <c r="DR45" s="195"/>
      <c r="DS45" s="195"/>
      <c r="DT45" s="195"/>
      <c r="DU45" s="195"/>
      <c r="DV45" s="195"/>
      <c r="DW45" s="195"/>
      <c r="DX45" s="195"/>
      <c r="DY45" s="195"/>
      <c r="DZ45" s="195"/>
      <c r="EA45" s="195"/>
      <c r="EB45" s="195"/>
      <c r="EC45" s="195"/>
      <c r="ED45" s="195"/>
      <c r="EE45" s="195"/>
      <c r="EF45" s="195"/>
      <c r="EG45" s="195"/>
      <c r="EH45" s="195"/>
      <c r="EI45" s="195"/>
      <c r="EJ45" s="195"/>
      <c r="EK45" s="195"/>
      <c r="EL45" s="195"/>
      <c r="EM45" s="195"/>
      <c r="EN45" s="195"/>
      <c r="EO45" s="195"/>
      <c r="EP45" s="195"/>
      <c r="EQ45" s="195"/>
      <c r="ER45" s="195"/>
      <c r="ES45" s="195"/>
    </row>
  </sheetData>
  <sheetProtection formatColumns="0" formatRows="0"/>
  <mergeCells count="4">
    <mergeCell ref="C8:D9"/>
    <mergeCell ref="D14:E15"/>
    <mergeCell ref="F14:G14"/>
    <mergeCell ref="H14:P14"/>
  </mergeCells>
  <pageMargins left="0.7" right="0.7" top="0.75" bottom="0.75" header="0.3" footer="0.3"/>
  <pageSetup orientation="portrait" r:id="rId1"/>
  <drawing r:id="rId2"/>
  <legacyDrawing r:id="rId3"/>
  <controls>
    <mc:AlternateContent xmlns:mc="http://schemas.openxmlformats.org/markup-compatibility/2006">
      <mc:Choice Requires="x14">
        <control shapeId="4097" r:id="rId4" name="CommandButton1">
          <controlPr defaultSize="0" autoLine="0" autoPict="0" r:id="rId5">
            <anchor>
              <from>
                <xdr:col>5</xdr:col>
                <xdr:colOff>558800</xdr:colOff>
                <xdr:row>8</xdr:row>
                <xdr:rowOff>6350</xdr:rowOff>
              </from>
              <to>
                <xdr:col>6</xdr:col>
                <xdr:colOff>736600</xdr:colOff>
                <xdr:row>10</xdr:row>
                <xdr:rowOff>0</xdr:rowOff>
              </to>
            </anchor>
          </controlPr>
        </control>
      </mc:Choice>
      <mc:Fallback>
        <control shapeId="4097"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7057B-9784-49B4-BC2A-36CF854F40F4}">
  <sheetPr codeName="Sheet12">
    <pageSetUpPr autoPageBreaks="0"/>
  </sheetPr>
  <dimension ref="A1:ET45"/>
  <sheetViews>
    <sheetView topLeftCell="A18" zoomScale="85" zoomScaleNormal="85" workbookViewId="0">
      <pane xSplit="5" topLeftCell="F1" activePane="topRight" state="frozen"/>
      <selection activeCell="M15" sqref="M15"/>
      <selection pane="topRight" activeCell="G39" sqref="G39:P39"/>
    </sheetView>
  </sheetViews>
  <sheetFormatPr defaultColWidth="8.81640625" defaultRowHeight="15.65" customHeight="1" x14ac:dyDescent="0.35"/>
  <cols>
    <col min="1" max="1" width="1.453125" style="130" customWidth="1"/>
    <col min="2" max="3" width="2.453125" style="130" customWidth="1"/>
    <col min="4" max="4" width="62.81640625" style="130" customWidth="1"/>
    <col min="5" max="5" width="9.1796875" style="130" customWidth="1"/>
    <col min="6" max="6" width="12.1796875" style="130" customWidth="1"/>
    <col min="7" max="7" width="11.453125" style="130" customWidth="1"/>
    <col min="8" max="8" width="8.81640625" style="130" customWidth="1"/>
    <col min="9" max="9" width="11.81640625" style="130" customWidth="1"/>
    <col min="10" max="10" width="10.54296875" style="130" customWidth="1"/>
    <col min="11" max="17" width="8.81640625" style="130" customWidth="1"/>
    <col min="18" max="147" width="8.81640625" style="130" hidden="1" customWidth="1"/>
    <col min="148" max="148" width="2.453125" style="130" hidden="1" customWidth="1"/>
    <col min="149" max="149" width="2.453125" style="130" customWidth="1"/>
    <col min="150" max="16384" width="8.81640625" style="130"/>
  </cols>
  <sheetData>
    <row r="1" spans="1:150" ht="15.65" customHeight="1" thickBot="1" x14ac:dyDescent="0.4">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c r="BJ1" s="131"/>
      <c r="BK1" s="131"/>
      <c r="BL1" s="131"/>
      <c r="BM1" s="131"/>
      <c r="BN1" s="131"/>
      <c r="BO1" s="131"/>
      <c r="BP1" s="131"/>
      <c r="BQ1" s="131"/>
      <c r="BR1" s="131"/>
      <c r="BS1" s="131"/>
      <c r="BT1" s="131"/>
      <c r="BU1" s="131"/>
      <c r="BV1" s="131"/>
      <c r="BW1" s="131"/>
      <c r="BX1" s="131"/>
      <c r="BY1" s="131"/>
      <c r="BZ1" s="131"/>
      <c r="CA1" s="131"/>
      <c r="CB1" s="131"/>
      <c r="CC1" s="131"/>
      <c r="CD1" s="131"/>
      <c r="CE1" s="131"/>
      <c r="CF1" s="131"/>
      <c r="CG1" s="131"/>
      <c r="CH1" s="131"/>
      <c r="CI1" s="131"/>
      <c r="CJ1" s="131"/>
      <c r="CK1" s="131"/>
      <c r="CL1" s="131"/>
      <c r="CM1" s="131"/>
      <c r="CN1" s="131"/>
      <c r="CO1" s="131"/>
      <c r="CP1" s="131"/>
      <c r="CQ1" s="131"/>
      <c r="CR1" s="131"/>
      <c r="CS1" s="131"/>
      <c r="CT1" s="131"/>
      <c r="CU1" s="131"/>
      <c r="CV1" s="131"/>
      <c r="CW1" s="131"/>
      <c r="CX1" s="131"/>
      <c r="CY1" s="131"/>
      <c r="CZ1" s="131"/>
      <c r="DA1" s="131"/>
      <c r="DB1" s="131"/>
      <c r="DC1" s="131"/>
      <c r="DD1" s="131"/>
      <c r="DE1" s="131"/>
      <c r="DF1" s="131"/>
      <c r="DG1" s="131"/>
      <c r="DH1" s="131"/>
      <c r="DI1" s="131"/>
      <c r="DJ1" s="131"/>
      <c r="DK1" s="131"/>
      <c r="DL1" s="131"/>
      <c r="DM1" s="131"/>
      <c r="DN1" s="131"/>
      <c r="DO1" s="131"/>
      <c r="DP1" s="131"/>
      <c r="DQ1" s="131"/>
      <c r="DR1" s="131"/>
      <c r="DS1" s="131"/>
      <c r="DT1" s="131"/>
      <c r="DU1" s="131"/>
      <c r="DV1" s="131"/>
      <c r="DW1" s="131"/>
      <c r="DX1" s="131"/>
      <c r="DY1" s="131"/>
      <c r="DZ1" s="131"/>
      <c r="EA1" s="131"/>
      <c r="EB1" s="131"/>
      <c r="EC1" s="131"/>
      <c r="ED1" s="131"/>
      <c r="EE1" s="131"/>
      <c r="EF1" s="131"/>
      <c r="EG1" s="131"/>
      <c r="EH1" s="131"/>
      <c r="EI1" s="131"/>
      <c r="EJ1" s="131"/>
      <c r="EK1" s="131"/>
      <c r="EL1" s="131"/>
      <c r="EM1" s="131"/>
      <c r="EN1" s="131"/>
      <c r="EO1" s="131"/>
      <c r="EP1" s="131"/>
      <c r="EQ1" s="131"/>
      <c r="ER1" s="131"/>
      <c r="ES1" s="131"/>
    </row>
    <row r="2" spans="1:150" ht="15.65" customHeight="1" thickBot="1" x14ac:dyDescent="0.4">
      <c r="A2" s="132"/>
      <c r="B2" s="133"/>
      <c r="C2" s="134"/>
      <c r="D2" s="318"/>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5"/>
      <c r="ET2" s="136"/>
    </row>
    <row r="3" spans="1:150" ht="15.65" customHeight="1" thickBot="1" x14ac:dyDescent="0.4">
      <c r="A3" s="132"/>
      <c r="B3" s="137"/>
      <c r="C3" s="138" t="s">
        <v>2</v>
      </c>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9"/>
      <c r="ES3" s="139"/>
      <c r="ET3" s="136"/>
    </row>
    <row r="4" spans="1:150" ht="15.65" customHeight="1" thickBot="1" x14ac:dyDescent="0.4">
      <c r="A4" s="132"/>
      <c r="B4" s="137"/>
      <c r="C4" s="140" t="s">
        <v>53</v>
      </c>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c r="CR4" s="52"/>
      <c r="CS4" s="52"/>
      <c r="CT4" s="52"/>
      <c r="CU4" s="52"/>
      <c r="CV4" s="52"/>
      <c r="CW4" s="52"/>
      <c r="CX4" s="52"/>
      <c r="CY4" s="52"/>
      <c r="CZ4" s="52"/>
      <c r="DA4" s="52"/>
      <c r="DB4" s="52"/>
      <c r="DC4" s="52"/>
      <c r="DD4" s="52"/>
      <c r="DE4" s="52"/>
      <c r="DF4" s="52"/>
      <c r="DG4" s="52"/>
      <c r="DH4" s="52"/>
      <c r="DI4" s="52"/>
      <c r="DJ4" s="52"/>
      <c r="DK4" s="52"/>
      <c r="DL4" s="52"/>
      <c r="DM4" s="52"/>
      <c r="DN4" s="52"/>
      <c r="DO4" s="52"/>
      <c r="DP4" s="52"/>
      <c r="DQ4" s="52"/>
      <c r="DR4" s="52"/>
      <c r="DS4" s="52"/>
      <c r="DT4" s="52"/>
      <c r="DU4" s="52"/>
      <c r="DV4" s="52"/>
      <c r="DW4" s="52"/>
      <c r="DX4" s="52"/>
      <c r="DY4" s="52"/>
      <c r="DZ4" s="52"/>
      <c r="EA4" s="52"/>
      <c r="EB4" s="52"/>
      <c r="EC4" s="52"/>
      <c r="ED4" s="52"/>
      <c r="EE4" s="52"/>
      <c r="EF4" s="52"/>
      <c r="EG4" s="52"/>
      <c r="EH4" s="52"/>
      <c r="EI4" s="52"/>
      <c r="EJ4" s="52"/>
      <c r="EK4" s="52"/>
      <c r="EL4" s="52"/>
      <c r="EM4" s="52"/>
      <c r="EN4" s="52"/>
      <c r="EO4" s="52"/>
      <c r="EP4" s="52"/>
      <c r="EQ4" s="52"/>
      <c r="ER4" s="56"/>
      <c r="ES4" s="139"/>
      <c r="ET4" s="136"/>
    </row>
    <row r="5" spans="1:150" ht="15.65" customHeight="1" thickBot="1" x14ac:dyDescent="0.4">
      <c r="A5" s="132"/>
      <c r="B5" s="141"/>
      <c r="C5" s="142" t="s">
        <v>54</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67"/>
      <c r="ES5" s="143"/>
      <c r="ET5" s="136"/>
    </row>
    <row r="6" spans="1:150" ht="15.65" customHeight="1" thickBot="1" x14ac:dyDescent="0.4">
      <c r="A6" s="132"/>
      <c r="B6" s="144"/>
      <c r="C6" s="145" t="s">
        <v>55</v>
      </c>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46"/>
      <c r="ES6" s="147"/>
      <c r="ET6" s="136"/>
    </row>
    <row r="7" spans="1:150" ht="16.5" customHeight="1" x14ac:dyDescent="0.35">
      <c r="A7" s="132"/>
      <c r="B7" s="148"/>
      <c r="C7" s="149"/>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0"/>
      <c r="DL7" s="150"/>
      <c r="DM7" s="150"/>
      <c r="DN7" s="150"/>
      <c r="DO7" s="150"/>
      <c r="DP7" s="150"/>
      <c r="DQ7" s="150"/>
      <c r="DR7" s="150"/>
      <c r="DS7" s="150"/>
      <c r="DT7" s="150"/>
      <c r="DU7" s="150"/>
      <c r="DV7" s="150"/>
      <c r="DW7" s="150"/>
      <c r="DX7" s="150"/>
      <c r="DY7" s="150"/>
      <c r="DZ7" s="150"/>
      <c r="EA7" s="150"/>
      <c r="EB7" s="150"/>
      <c r="EC7" s="150"/>
      <c r="ED7" s="150"/>
      <c r="EE7" s="150"/>
      <c r="EF7" s="150"/>
      <c r="EG7" s="150"/>
      <c r="EH7" s="150"/>
      <c r="EI7" s="150"/>
      <c r="EJ7" s="150"/>
      <c r="EK7" s="150"/>
      <c r="EL7" s="150"/>
      <c r="EM7" s="150"/>
      <c r="EN7" s="150"/>
      <c r="EO7" s="150"/>
      <c r="EP7" s="150"/>
      <c r="EQ7" s="150"/>
      <c r="ER7" s="118"/>
      <c r="ES7" s="147"/>
      <c r="ET7" s="136"/>
    </row>
    <row r="8" spans="1:150" ht="15.65" customHeight="1" x14ac:dyDescent="0.35">
      <c r="A8" s="132"/>
      <c r="B8" s="151"/>
      <c r="C8" s="403" t="s">
        <v>56</v>
      </c>
      <c r="D8" s="404"/>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2"/>
      <c r="CO8" s="152"/>
      <c r="CP8" s="152"/>
      <c r="CQ8" s="152"/>
      <c r="CR8" s="152"/>
      <c r="CS8" s="152"/>
      <c r="CT8" s="152"/>
      <c r="CU8" s="152"/>
      <c r="CV8" s="152"/>
      <c r="CW8" s="152"/>
      <c r="CX8" s="152"/>
      <c r="CY8" s="152"/>
      <c r="CZ8" s="152"/>
      <c r="DA8" s="152"/>
      <c r="DB8" s="152"/>
      <c r="DC8" s="152"/>
      <c r="DD8" s="152"/>
      <c r="DE8" s="152"/>
      <c r="DF8" s="152"/>
      <c r="DG8" s="152"/>
      <c r="DH8" s="152"/>
      <c r="DI8" s="152"/>
      <c r="DJ8" s="152"/>
      <c r="DK8" s="152"/>
      <c r="DL8" s="152"/>
      <c r="DM8" s="152"/>
      <c r="DN8" s="152"/>
      <c r="DO8" s="152"/>
      <c r="DP8" s="152"/>
      <c r="DQ8" s="152"/>
      <c r="DR8" s="152"/>
      <c r="DS8" s="152"/>
      <c r="DT8" s="152"/>
      <c r="DU8" s="152"/>
      <c r="DV8" s="152"/>
      <c r="DW8" s="152"/>
      <c r="DX8" s="152"/>
      <c r="DY8" s="152"/>
      <c r="DZ8" s="152"/>
      <c r="EA8" s="152"/>
      <c r="EB8" s="152"/>
      <c r="EC8" s="152"/>
      <c r="ED8" s="152"/>
      <c r="EE8" s="152"/>
      <c r="EF8" s="152"/>
      <c r="EG8" s="152"/>
      <c r="EH8" s="152"/>
      <c r="EI8" s="152"/>
      <c r="EJ8" s="152"/>
      <c r="EK8" s="152"/>
      <c r="EL8" s="152"/>
      <c r="EM8" s="152"/>
      <c r="EN8" s="152"/>
      <c r="EO8" s="152"/>
      <c r="EP8" s="152"/>
      <c r="EQ8" s="152"/>
      <c r="ER8" s="152"/>
      <c r="ES8" s="153"/>
      <c r="ET8" s="136"/>
    </row>
    <row r="9" spans="1:150" ht="15.65" customHeight="1" x14ac:dyDescent="0.35">
      <c r="A9" s="132"/>
      <c r="B9" s="151"/>
      <c r="C9" s="405"/>
      <c r="D9" s="406"/>
      <c r="E9" s="154"/>
      <c r="F9" s="154"/>
      <c r="G9" s="155"/>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6"/>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3"/>
      <c r="ET9" s="136"/>
    </row>
    <row r="10" spans="1:150" ht="15.65" customHeight="1" thickBot="1" x14ac:dyDescent="0.4">
      <c r="A10" s="132"/>
      <c r="B10" s="25"/>
      <c r="C10" s="15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158"/>
      <c r="EN10" s="27"/>
      <c r="EO10" s="27"/>
      <c r="EP10" s="27"/>
      <c r="EQ10" s="27"/>
      <c r="ER10" s="27"/>
      <c r="ES10" s="153"/>
      <c r="ET10" s="136"/>
    </row>
    <row r="11" spans="1:150" ht="15.65" customHeight="1" x14ac:dyDescent="0.35">
      <c r="A11" s="132"/>
      <c r="B11" s="119"/>
      <c r="C11" s="7"/>
      <c r="D11" s="7"/>
      <c r="E11" s="7"/>
      <c r="F11" s="7"/>
      <c r="G11" s="7"/>
      <c r="H11" s="7"/>
      <c r="I11" s="7"/>
      <c r="J11" s="7"/>
      <c r="K11" s="7"/>
      <c r="L11" s="7"/>
      <c r="M11" s="7"/>
      <c r="N11" s="7"/>
      <c r="O11" s="7"/>
      <c r="P11" s="7"/>
      <c r="Q11" s="7"/>
      <c r="R11" s="4"/>
      <c r="S11" s="159"/>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c r="BS11" s="160"/>
      <c r="BT11" s="160"/>
      <c r="BU11" s="160"/>
      <c r="BV11" s="160"/>
      <c r="BW11" s="160"/>
      <c r="BX11" s="160"/>
      <c r="BY11" s="160"/>
      <c r="BZ11" s="160"/>
      <c r="CA11" s="160"/>
      <c r="CB11" s="160"/>
      <c r="CC11" s="160"/>
      <c r="CD11" s="160"/>
      <c r="CE11" s="160"/>
      <c r="CF11" s="160"/>
      <c r="CG11" s="160"/>
      <c r="CH11" s="160"/>
      <c r="CI11" s="160"/>
      <c r="CJ11" s="160"/>
      <c r="CK11" s="160"/>
      <c r="CL11" s="160"/>
      <c r="CM11" s="160"/>
      <c r="CN11" s="160"/>
      <c r="CO11" s="160"/>
      <c r="CP11" s="160"/>
      <c r="CQ11" s="160"/>
      <c r="CR11" s="160"/>
      <c r="CS11" s="160"/>
      <c r="CT11" s="160"/>
      <c r="CU11" s="160"/>
      <c r="CV11" s="160"/>
      <c r="CW11" s="160"/>
      <c r="CX11" s="160"/>
      <c r="CY11" s="160"/>
      <c r="CZ11" s="160"/>
      <c r="DA11" s="160"/>
      <c r="DB11" s="160"/>
      <c r="DC11" s="160"/>
      <c r="DD11" s="160"/>
      <c r="DE11" s="160"/>
      <c r="DF11" s="160"/>
      <c r="DG11" s="160"/>
      <c r="DH11" s="160"/>
      <c r="DI11" s="160"/>
      <c r="DJ11" s="160"/>
      <c r="DK11" s="160"/>
      <c r="DL11" s="160"/>
      <c r="DM11" s="160"/>
      <c r="DN11" s="160"/>
      <c r="DO11" s="160"/>
      <c r="DP11" s="160"/>
      <c r="DQ11" s="160"/>
      <c r="DR11" s="160"/>
      <c r="DS11" s="160"/>
      <c r="DT11" s="160"/>
      <c r="DU11" s="160"/>
      <c r="DV11" s="160"/>
      <c r="DW11" s="160"/>
      <c r="DX11" s="160"/>
      <c r="DY11" s="160"/>
      <c r="DZ11" s="160"/>
      <c r="EA11" s="160"/>
      <c r="EB11" s="160"/>
      <c r="EC11" s="160"/>
      <c r="ED11" s="160"/>
      <c r="EE11" s="160"/>
      <c r="EF11" s="160"/>
      <c r="EG11" s="160"/>
      <c r="EH11" s="160"/>
      <c r="EI11" s="160"/>
      <c r="EJ11" s="160"/>
      <c r="EK11" s="160"/>
      <c r="EL11" s="160"/>
      <c r="EM11" s="160"/>
      <c r="EN11" s="160"/>
      <c r="EO11" s="160"/>
      <c r="EP11" s="160"/>
      <c r="EQ11" s="160"/>
      <c r="ER11" s="160"/>
      <c r="ES11" s="153"/>
      <c r="ET11" s="136"/>
    </row>
    <row r="12" spans="1:150" ht="15.65" customHeight="1" x14ac:dyDescent="0.35">
      <c r="A12" s="132"/>
      <c r="B12" s="119"/>
      <c r="C12" s="138" t="s">
        <v>57</v>
      </c>
      <c r="D12" s="44"/>
      <c r="E12" s="44"/>
      <c r="F12" s="44"/>
      <c r="G12" s="44"/>
      <c r="H12" s="44"/>
      <c r="I12" s="44"/>
      <c r="J12" s="44"/>
      <c r="K12" s="44"/>
      <c r="L12" s="44"/>
      <c r="M12" s="44"/>
      <c r="N12" s="44"/>
      <c r="O12" s="44"/>
      <c r="P12" s="44"/>
      <c r="Q12" s="49"/>
      <c r="R12" s="6"/>
      <c r="S12" s="16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53"/>
      <c r="ET12" s="136"/>
    </row>
    <row r="13" spans="1:150" ht="15.65" customHeight="1" x14ac:dyDescent="0.35">
      <c r="A13" s="132"/>
      <c r="B13" s="119"/>
      <c r="C13" s="162"/>
      <c r="D13" s="1"/>
      <c r="E13" s="1"/>
      <c r="F13" s="1"/>
      <c r="G13" s="1"/>
      <c r="H13" s="1"/>
      <c r="I13" s="1"/>
      <c r="J13" s="1"/>
      <c r="K13" s="1"/>
      <c r="L13" s="1"/>
      <c r="M13" s="1"/>
      <c r="N13" s="1"/>
      <c r="O13" s="1"/>
      <c r="P13" s="1"/>
      <c r="Q13" s="69"/>
      <c r="R13" s="6"/>
      <c r="S13" s="16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53"/>
      <c r="ET13" s="136"/>
    </row>
    <row r="14" spans="1:150" ht="15.65" customHeight="1" x14ac:dyDescent="0.35">
      <c r="A14" s="132"/>
      <c r="B14" s="119"/>
      <c r="C14" s="162"/>
      <c r="D14" s="407" t="s">
        <v>58</v>
      </c>
      <c r="E14" s="408"/>
      <c r="F14" s="394" t="s">
        <v>59</v>
      </c>
      <c r="G14" s="396"/>
      <c r="H14" s="411" t="s">
        <v>60</v>
      </c>
      <c r="I14" s="411"/>
      <c r="J14" s="411"/>
      <c r="K14" s="411"/>
      <c r="L14" s="411"/>
      <c r="M14" s="411"/>
      <c r="N14" s="411"/>
      <c r="O14" s="411"/>
      <c r="P14" s="411"/>
      <c r="Q14" s="69"/>
      <c r="R14" s="6"/>
      <c r="S14" s="16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53"/>
      <c r="ET14" s="136"/>
    </row>
    <row r="15" spans="1:150" ht="45.65" customHeight="1" x14ac:dyDescent="0.35">
      <c r="A15" s="132"/>
      <c r="B15" s="119"/>
      <c r="C15" s="162"/>
      <c r="D15" s="409"/>
      <c r="E15" s="410"/>
      <c r="F15" s="163" t="s">
        <v>61</v>
      </c>
      <c r="G15" s="164" t="s">
        <v>62</v>
      </c>
      <c r="H15" s="165" t="s">
        <v>63</v>
      </c>
      <c r="I15" s="165" t="s">
        <v>64</v>
      </c>
      <c r="J15" s="165" t="s">
        <v>65</v>
      </c>
      <c r="K15" s="165" t="s">
        <v>26</v>
      </c>
      <c r="L15" s="165" t="s">
        <v>27</v>
      </c>
      <c r="M15" s="165" t="s">
        <v>28</v>
      </c>
      <c r="N15" s="165" t="s">
        <v>29</v>
      </c>
      <c r="O15" s="165" t="s">
        <v>30</v>
      </c>
      <c r="P15" s="165" t="s">
        <v>31</v>
      </c>
      <c r="Q15" s="69"/>
      <c r="R15" s="6"/>
      <c r="S15" s="16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53"/>
      <c r="ET15" s="136"/>
    </row>
    <row r="16" spans="1:150" ht="15.65" customHeight="1" x14ac:dyDescent="0.35">
      <c r="A16" s="132"/>
      <c r="B16" s="119"/>
      <c r="C16" s="162"/>
      <c r="D16" s="1"/>
      <c r="E16" s="1"/>
      <c r="F16" s="1"/>
      <c r="G16" s="1"/>
      <c r="H16" s="1"/>
      <c r="I16" s="1"/>
      <c r="J16" s="1"/>
      <c r="K16" s="1"/>
      <c r="L16" s="1"/>
      <c r="M16" s="1"/>
      <c r="N16" s="1"/>
      <c r="O16" s="1"/>
      <c r="P16" s="1"/>
      <c r="Q16" s="69"/>
      <c r="R16" s="6"/>
      <c r="S16" s="16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53"/>
      <c r="ET16" s="136"/>
    </row>
    <row r="17" spans="1:150" ht="15.65" customHeight="1" x14ac:dyDescent="0.35">
      <c r="A17" s="132"/>
      <c r="B17" s="119"/>
      <c r="C17" s="162"/>
      <c r="D17" s="166" t="s">
        <v>66</v>
      </c>
      <c r="E17" s="167"/>
      <c r="F17" s="168">
        <f>SUM(F18:F24)</f>
        <v>88059</v>
      </c>
      <c r="G17" s="323">
        <f>SUM(G18:G24)</f>
        <v>1013</v>
      </c>
      <c r="H17" s="323">
        <f t="shared" ref="H17:P17" si="0">SUM(H18:H24)</f>
        <v>36</v>
      </c>
      <c r="I17" s="323">
        <f t="shared" si="0"/>
        <v>25</v>
      </c>
      <c r="J17" s="323">
        <f t="shared" si="0"/>
        <v>112</v>
      </c>
      <c r="K17" s="323">
        <f t="shared" si="0"/>
        <v>140</v>
      </c>
      <c r="L17" s="323">
        <f t="shared" si="0"/>
        <v>175</v>
      </c>
      <c r="M17" s="323">
        <f t="shared" si="0"/>
        <v>175</v>
      </c>
      <c r="N17" s="323">
        <f t="shared" si="0"/>
        <v>0</v>
      </c>
      <c r="O17" s="323">
        <f t="shared" si="0"/>
        <v>175</v>
      </c>
      <c r="P17" s="324">
        <f t="shared" si="0"/>
        <v>175</v>
      </c>
      <c r="Q17" s="69"/>
      <c r="R17" s="6"/>
      <c r="S17" s="16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53"/>
      <c r="ET17" s="136"/>
    </row>
    <row r="18" spans="1:150" ht="15.65" customHeight="1" x14ac:dyDescent="0.35">
      <c r="A18" s="132"/>
      <c r="B18" s="119"/>
      <c r="C18" s="162"/>
      <c r="D18" s="169" t="s">
        <v>67</v>
      </c>
      <c r="E18" s="7"/>
      <c r="F18" s="170">
        <f>H18*'Scope and Scaling Factors'!$Q$20+I18*'Scope and Scaling Factors'!$R$20+J18*'Scope and Scaling Factors'!$R$20+K18*'Scope and Scaling Factors'!$S$20+L18*'Scope and Scaling Factors'!$T$20+M18*'Scope and Scaling Factors'!$U$20+N18*'Scope and Scaling Factors'!$V$20+O18*'Scope and Scaling Factors'!$W$20+P18*'Scope and Scaling Factors'!$X$20</f>
        <v>13182</v>
      </c>
      <c r="G18" s="325">
        <f>SUM(H18:P18)</f>
        <v>146</v>
      </c>
      <c r="H18" s="325">
        <v>6</v>
      </c>
      <c r="I18" s="325">
        <v>4</v>
      </c>
      <c r="J18" s="325">
        <v>16</v>
      </c>
      <c r="K18" s="325">
        <v>20</v>
      </c>
      <c r="L18" s="325">
        <v>25</v>
      </c>
      <c r="M18" s="325">
        <v>25</v>
      </c>
      <c r="N18" s="325"/>
      <c r="O18" s="325">
        <v>25</v>
      </c>
      <c r="P18" s="326">
        <v>25</v>
      </c>
      <c r="Q18" s="69"/>
      <c r="R18" s="6"/>
      <c r="S18" s="16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53"/>
      <c r="ET18" s="136"/>
    </row>
    <row r="19" spans="1:150" ht="15.65" customHeight="1" x14ac:dyDescent="0.35">
      <c r="A19" s="132"/>
      <c r="B19" s="119"/>
      <c r="C19" s="162"/>
      <c r="D19" s="169" t="s">
        <v>68</v>
      </c>
      <c r="E19" s="7"/>
      <c r="F19" s="170">
        <f>H19*'Scope and Scaling Factors'!$Q$20+I19*'Scope and Scaling Factors'!$R$20+J19*'Scope and Scaling Factors'!$R$20+K19*'Scope and Scaling Factors'!$S$20+L19*'Scope and Scaling Factors'!$T$20+M19*'Scope and Scaling Factors'!$U$20+N19*'Scope and Scaling Factors'!$V$20+O19*'Scope and Scaling Factors'!$W$20+P19*'Scope and Scaling Factors'!$X$20</f>
        <v>12498</v>
      </c>
      <c r="G19" s="325">
        <f t="shared" ref="G19:G24" si="1">SUM(H19:P19)</f>
        <v>142</v>
      </c>
      <c r="H19" s="325">
        <v>6</v>
      </c>
      <c r="I19" s="325"/>
      <c r="J19" s="325">
        <v>16</v>
      </c>
      <c r="K19" s="325">
        <v>20</v>
      </c>
      <c r="L19" s="325">
        <v>25</v>
      </c>
      <c r="M19" s="325">
        <v>25</v>
      </c>
      <c r="N19" s="325"/>
      <c r="O19" s="325">
        <v>25</v>
      </c>
      <c r="P19" s="326">
        <v>25</v>
      </c>
      <c r="Q19" s="69"/>
      <c r="R19" s="6"/>
      <c r="S19" s="16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53"/>
      <c r="ET19" s="136"/>
    </row>
    <row r="20" spans="1:150" ht="15.65" customHeight="1" x14ac:dyDescent="0.35">
      <c r="A20" s="132"/>
      <c r="B20" s="172"/>
      <c r="C20" s="162"/>
      <c r="D20" s="169" t="s">
        <v>69</v>
      </c>
      <c r="E20" s="7"/>
      <c r="F20" s="170">
        <f>H20*'Scope and Scaling Factors'!$Q$20+I20*'Scope and Scaling Factors'!$R$20+J20*'Scope and Scaling Factors'!$R$20+K20*'Scope and Scaling Factors'!$S$20+L20*'Scope and Scaling Factors'!$T$20+M20*'Scope and Scaling Factors'!$U$20+N20*'Scope and Scaling Factors'!$V$20+O20*'Scope and Scaling Factors'!$W$20+P20*'Scope and Scaling Factors'!$X$20</f>
        <v>13353</v>
      </c>
      <c r="G20" s="325">
        <f t="shared" si="1"/>
        <v>147</v>
      </c>
      <c r="H20" s="325">
        <v>6</v>
      </c>
      <c r="I20" s="325">
        <v>5</v>
      </c>
      <c r="J20" s="325">
        <v>16</v>
      </c>
      <c r="K20" s="325">
        <v>20</v>
      </c>
      <c r="L20" s="325">
        <v>25</v>
      </c>
      <c r="M20" s="325">
        <v>25</v>
      </c>
      <c r="N20" s="325"/>
      <c r="O20" s="325">
        <v>25</v>
      </c>
      <c r="P20" s="326">
        <v>25</v>
      </c>
      <c r="Q20" s="69"/>
      <c r="R20" s="6"/>
      <c r="S20" s="16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53"/>
      <c r="ET20" s="136"/>
    </row>
    <row r="21" spans="1:150" ht="15.65" customHeight="1" x14ac:dyDescent="0.35">
      <c r="A21" s="132"/>
      <c r="B21" s="172"/>
      <c r="C21" s="162"/>
      <c r="D21" s="169" t="s">
        <v>70</v>
      </c>
      <c r="E21" s="7"/>
      <c r="F21" s="170">
        <f>H21*'Scope and Scaling Factors'!$Q$20+I21*'Scope and Scaling Factors'!$R$20+J21*'Scope and Scaling Factors'!$R$20+K21*'Scope and Scaling Factors'!$S$20+L21*'Scope and Scaling Factors'!$T$20+M21*'Scope and Scaling Factors'!$U$20+N21*'Scope and Scaling Factors'!$V$20+O21*'Scope and Scaling Factors'!$W$20+P21*'Scope and Scaling Factors'!$X$20</f>
        <v>13353</v>
      </c>
      <c r="G21" s="325">
        <f t="shared" si="1"/>
        <v>147</v>
      </c>
      <c r="H21" s="325">
        <v>6</v>
      </c>
      <c r="I21" s="325">
        <v>5</v>
      </c>
      <c r="J21" s="325">
        <v>16</v>
      </c>
      <c r="K21" s="325">
        <v>20</v>
      </c>
      <c r="L21" s="325">
        <v>25</v>
      </c>
      <c r="M21" s="325">
        <v>25</v>
      </c>
      <c r="N21" s="325"/>
      <c r="O21" s="325">
        <v>25</v>
      </c>
      <c r="P21" s="326">
        <v>25</v>
      </c>
      <c r="Q21" s="69"/>
      <c r="R21" s="6"/>
      <c r="S21" s="16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53"/>
      <c r="ET21" s="136"/>
    </row>
    <row r="22" spans="1:150" ht="15.65" customHeight="1" x14ac:dyDescent="0.35">
      <c r="A22" s="132"/>
      <c r="B22" s="172"/>
      <c r="C22" s="162"/>
      <c r="D22" s="169" t="s">
        <v>71</v>
      </c>
      <c r="E22" s="7"/>
      <c r="F22" s="170">
        <f>H22*'Scope and Scaling Factors'!$Q$20+I22*'Scope and Scaling Factors'!$R$20+J22*'Scope and Scaling Factors'!$R$20+K22*'Scope and Scaling Factors'!$S$20+L22*'Scope and Scaling Factors'!$T$20+M22*'Scope and Scaling Factors'!$U$20+N22*'Scope and Scaling Factors'!$V$20+O22*'Scope and Scaling Factors'!$W$20+P22*'Scope and Scaling Factors'!$X$20</f>
        <v>13182</v>
      </c>
      <c r="G22" s="325">
        <f t="shared" si="1"/>
        <v>146</v>
      </c>
      <c r="H22" s="325">
        <v>6</v>
      </c>
      <c r="I22" s="325">
        <v>4</v>
      </c>
      <c r="J22" s="325">
        <v>16</v>
      </c>
      <c r="K22" s="325">
        <v>20</v>
      </c>
      <c r="L22" s="325">
        <v>25</v>
      </c>
      <c r="M22" s="325">
        <v>25</v>
      </c>
      <c r="N22" s="325"/>
      <c r="O22" s="325">
        <v>25</v>
      </c>
      <c r="P22" s="326">
        <v>25</v>
      </c>
      <c r="Q22" s="69"/>
      <c r="R22" s="6"/>
      <c r="S22" s="16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53"/>
      <c r="ET22" s="136"/>
    </row>
    <row r="23" spans="1:150" ht="15.65" customHeight="1" x14ac:dyDescent="0.35">
      <c r="A23" s="132"/>
      <c r="B23" s="172"/>
      <c r="C23" s="162"/>
      <c r="D23" s="169" t="s">
        <v>72</v>
      </c>
      <c r="E23" s="7"/>
      <c r="F23" s="170">
        <f>H23*'Scope and Scaling Factors'!$Q$20+I23*'Scope and Scaling Factors'!$R$20+J23*'Scope and Scaling Factors'!$R$20+K23*'Scope and Scaling Factors'!$S$20+L23*'Scope and Scaling Factors'!$T$20+M23*'Scope and Scaling Factors'!$U$20+N23*'Scope and Scaling Factors'!$V$20+O23*'Scope and Scaling Factors'!$W$20+P23*'Scope and Scaling Factors'!$X$20</f>
        <v>8796</v>
      </c>
      <c r="G23" s="325">
        <f t="shared" si="1"/>
        <v>136</v>
      </c>
      <c r="H23" s="325"/>
      <c r="I23" s="325"/>
      <c r="J23" s="325">
        <v>16</v>
      </c>
      <c r="K23" s="325">
        <v>20</v>
      </c>
      <c r="L23" s="325">
        <v>25</v>
      </c>
      <c r="M23" s="325">
        <v>25</v>
      </c>
      <c r="N23" s="325"/>
      <c r="O23" s="325">
        <v>25</v>
      </c>
      <c r="P23" s="326">
        <v>25</v>
      </c>
      <c r="Q23" s="69"/>
      <c r="R23" s="6"/>
      <c r="S23" s="16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53"/>
      <c r="ET23" s="136"/>
    </row>
    <row r="24" spans="1:150" ht="15.65" customHeight="1" x14ac:dyDescent="0.35">
      <c r="A24" s="132"/>
      <c r="B24" s="172"/>
      <c r="C24" s="162"/>
      <c r="D24" s="173" t="s">
        <v>73</v>
      </c>
      <c r="E24" s="174"/>
      <c r="F24" s="175">
        <f>H24*'Scope and Scaling Factors'!$Q$20+I24*'Scope and Scaling Factors'!$R$20+J24*'Scope and Scaling Factors'!$R$20+K24*'Scope and Scaling Factors'!$S$20+L24*'Scope and Scaling Factors'!$T$20+M24*'Scope and Scaling Factors'!$U$20+N24*'Scope and Scaling Factors'!$V$20+O24*'Scope and Scaling Factors'!$W$20+P24*'Scope and Scaling Factors'!$X$20</f>
        <v>13695</v>
      </c>
      <c r="G24" s="327">
        <f t="shared" si="1"/>
        <v>149</v>
      </c>
      <c r="H24" s="327">
        <v>6</v>
      </c>
      <c r="I24" s="327">
        <v>7</v>
      </c>
      <c r="J24" s="327">
        <v>16</v>
      </c>
      <c r="K24" s="327">
        <v>20</v>
      </c>
      <c r="L24" s="327">
        <v>25</v>
      </c>
      <c r="M24" s="327">
        <v>25</v>
      </c>
      <c r="N24" s="327"/>
      <c r="O24" s="327">
        <v>25</v>
      </c>
      <c r="P24" s="330">
        <v>25</v>
      </c>
      <c r="Q24" s="69"/>
      <c r="R24" s="6"/>
      <c r="S24" s="16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53"/>
      <c r="ET24" s="136"/>
    </row>
    <row r="25" spans="1:150" ht="15.65" customHeight="1" x14ac:dyDescent="0.35">
      <c r="A25" s="132"/>
      <c r="B25" s="119"/>
      <c r="C25" s="162"/>
      <c r="D25" s="177"/>
      <c r="E25" s="1"/>
      <c r="F25" s="179"/>
      <c r="G25" s="328"/>
      <c r="H25" s="338"/>
      <c r="I25" s="338"/>
      <c r="J25" s="338"/>
      <c r="K25" s="338"/>
      <c r="L25" s="338"/>
      <c r="M25" s="338"/>
      <c r="N25" s="338"/>
      <c r="O25" s="338"/>
      <c r="P25" s="338"/>
      <c r="Q25" s="69"/>
      <c r="R25" s="6"/>
      <c r="S25" s="16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53"/>
      <c r="ET25" s="136"/>
    </row>
    <row r="26" spans="1:150" ht="15.65" customHeight="1" x14ac:dyDescent="0.35">
      <c r="A26" s="132"/>
      <c r="B26" s="119"/>
      <c r="C26" s="162"/>
      <c r="D26" s="166" t="s">
        <v>74</v>
      </c>
      <c r="E26" s="167"/>
      <c r="F26" s="168">
        <f t="shared" ref="F26:P26" si="2">SUM(F27:F33)</f>
        <v>96503</v>
      </c>
      <c r="G26" s="323">
        <f t="shared" si="2"/>
        <v>1089</v>
      </c>
      <c r="H26" s="323">
        <f t="shared" si="2"/>
        <v>44</v>
      </c>
      <c r="I26" s="323">
        <f t="shared" si="2"/>
        <v>7</v>
      </c>
      <c r="J26" s="323">
        <f t="shared" si="2"/>
        <v>118</v>
      </c>
      <c r="K26" s="323">
        <f t="shared" si="2"/>
        <v>180</v>
      </c>
      <c r="L26" s="323">
        <f t="shared" si="2"/>
        <v>185</v>
      </c>
      <c r="M26" s="323">
        <f t="shared" si="2"/>
        <v>185</v>
      </c>
      <c r="N26" s="323">
        <f t="shared" si="2"/>
        <v>0</v>
      </c>
      <c r="O26" s="323">
        <f t="shared" si="2"/>
        <v>185</v>
      </c>
      <c r="P26" s="324">
        <f t="shared" si="2"/>
        <v>185</v>
      </c>
      <c r="Q26" s="69"/>
      <c r="R26" s="6"/>
      <c r="S26" s="16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53"/>
      <c r="ET26" s="136"/>
    </row>
    <row r="27" spans="1:150" ht="15.65" customHeight="1" x14ac:dyDescent="0.35">
      <c r="A27" s="132"/>
      <c r="B27" s="119"/>
      <c r="C27" s="162"/>
      <c r="D27" s="169" t="s">
        <v>75</v>
      </c>
      <c r="E27" s="7"/>
      <c r="F27" s="170">
        <f>H27*'Scope and Scaling Factors'!$Q$20+I27*'Scope and Scaling Factors'!$R$20+J27*'Scope and Scaling Factors'!$R$20+K27*'Scope and Scaling Factors'!$S$20+L27*'Scope and Scaling Factors'!$T$20+M27*'Scope and Scaling Factors'!$U$20+N27*'Scope and Scaling Factors'!$V$20+O27*'Scope and Scaling Factors'!$W$20+P27*'Scope and Scaling Factors'!$X$20</f>
        <v>5393</v>
      </c>
      <c r="G27" s="325">
        <f>SUM(H27:P27)</f>
        <v>61</v>
      </c>
      <c r="H27" s="325">
        <v>2</v>
      </c>
      <c r="I27" s="325">
        <v>3</v>
      </c>
      <c r="J27" s="325">
        <v>6</v>
      </c>
      <c r="K27" s="325">
        <v>10</v>
      </c>
      <c r="L27" s="325">
        <v>10</v>
      </c>
      <c r="M27" s="325">
        <v>10</v>
      </c>
      <c r="N27" s="325"/>
      <c r="O27" s="325">
        <v>10</v>
      </c>
      <c r="P27" s="326">
        <v>10</v>
      </c>
      <c r="Q27" s="69"/>
      <c r="R27" s="6"/>
      <c r="S27" s="16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53"/>
      <c r="ET27" s="136"/>
    </row>
    <row r="28" spans="1:150" ht="15.65" customHeight="1" x14ac:dyDescent="0.35">
      <c r="A28" s="132"/>
      <c r="B28" s="119"/>
      <c r="C28" s="162"/>
      <c r="D28" s="169" t="s">
        <v>76</v>
      </c>
      <c r="E28" s="7"/>
      <c r="F28" s="170">
        <f>H28*'Scope and Scaling Factors'!$Q$20+I28*'Scope and Scaling Factors'!$R$20+J28*'Scope and Scaling Factors'!$R$20+K28*'Scope and Scaling Factors'!$S$20+L28*'Scope and Scaling Factors'!$T$20+M28*'Scope and Scaling Factors'!$U$20+N28*'Scope and Scaling Factors'!$V$20+O28*'Scope and Scaling Factors'!$W$20+P28*'Scope and Scaling Factors'!$X$20</f>
        <v>13478</v>
      </c>
      <c r="G28" s="325">
        <f t="shared" ref="G28:G33" si="3">SUM(H28:P28)</f>
        <v>152</v>
      </c>
      <c r="H28" s="325">
        <v>6</v>
      </c>
      <c r="I28" s="325"/>
      <c r="J28" s="325">
        <v>16</v>
      </c>
      <c r="K28" s="325">
        <v>30</v>
      </c>
      <c r="L28" s="325">
        <v>25</v>
      </c>
      <c r="M28" s="325">
        <v>25</v>
      </c>
      <c r="N28" s="325"/>
      <c r="O28" s="325">
        <v>25</v>
      </c>
      <c r="P28" s="326">
        <v>25</v>
      </c>
      <c r="Q28" s="69"/>
      <c r="R28" s="6"/>
      <c r="S28" s="16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53"/>
      <c r="ET28" s="136"/>
    </row>
    <row r="29" spans="1:150" ht="15.65" customHeight="1" x14ac:dyDescent="0.35">
      <c r="A29" s="132"/>
      <c r="B29" s="119"/>
      <c r="C29" s="162"/>
      <c r="D29" s="169" t="s">
        <v>77</v>
      </c>
      <c r="E29" s="7"/>
      <c r="F29" s="170">
        <f>H29*'Scope and Scaling Factors'!$Q$20+I29*'Scope and Scaling Factors'!$R$20+J29*'Scope and Scaling Factors'!$R$20+K29*'Scope and Scaling Factors'!$S$20+L29*'Scope and Scaling Factors'!$T$20+M29*'Scope and Scaling Factors'!$U$20+N29*'Scope and Scaling Factors'!$V$20+O29*'Scope and Scaling Factors'!$W$20+P29*'Scope and Scaling Factors'!$X$20</f>
        <v>14458</v>
      </c>
      <c r="G29" s="325">
        <f t="shared" si="3"/>
        <v>162</v>
      </c>
      <c r="H29" s="325">
        <v>6</v>
      </c>
      <c r="I29" s="325"/>
      <c r="J29" s="325">
        <v>16</v>
      </c>
      <c r="K29" s="325">
        <v>40</v>
      </c>
      <c r="L29" s="325">
        <v>25</v>
      </c>
      <c r="M29" s="325">
        <v>25</v>
      </c>
      <c r="N29" s="325"/>
      <c r="O29" s="325">
        <v>25</v>
      </c>
      <c r="P29" s="326">
        <v>25</v>
      </c>
      <c r="Q29" s="69"/>
      <c r="R29" s="6"/>
      <c r="S29" s="16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53"/>
      <c r="ET29" s="136"/>
    </row>
    <row r="30" spans="1:150" ht="15.65" customHeight="1" x14ac:dyDescent="0.35">
      <c r="A30" s="132"/>
      <c r="B30" s="119"/>
      <c r="C30" s="162"/>
      <c r="D30" s="169" t="s">
        <v>78</v>
      </c>
      <c r="E30" s="7"/>
      <c r="F30" s="170">
        <f>H30*'Scope and Scaling Factors'!$Q$20+I30*'Scope and Scaling Factors'!$R$20+J30*'Scope and Scaling Factors'!$R$20+K30*'Scope and Scaling Factors'!$S$20+L30*'Scope and Scaling Factors'!$T$20+M30*'Scope and Scaling Factors'!$U$20+N30*'Scope and Scaling Factors'!$V$20+O30*'Scope and Scaling Factors'!$W$20+P30*'Scope and Scaling Factors'!$X$20</f>
        <v>12498</v>
      </c>
      <c r="G30" s="325">
        <f t="shared" si="3"/>
        <v>142</v>
      </c>
      <c r="H30" s="325">
        <v>6</v>
      </c>
      <c r="I30" s="325"/>
      <c r="J30" s="325">
        <v>16</v>
      </c>
      <c r="K30" s="325">
        <v>20</v>
      </c>
      <c r="L30" s="325">
        <v>25</v>
      </c>
      <c r="M30" s="325">
        <v>25</v>
      </c>
      <c r="N30" s="325"/>
      <c r="O30" s="325">
        <v>25</v>
      </c>
      <c r="P30" s="326">
        <v>25</v>
      </c>
      <c r="Q30" s="69"/>
      <c r="R30" s="6"/>
      <c r="S30" s="16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53"/>
      <c r="ET30" s="136"/>
    </row>
    <row r="31" spans="1:150" ht="15.65" customHeight="1" x14ac:dyDescent="0.35">
      <c r="A31" s="132"/>
      <c r="B31" s="119"/>
      <c r="C31" s="162"/>
      <c r="D31" s="169" t="s">
        <v>79</v>
      </c>
      <c r="E31" s="7"/>
      <c r="F31" s="170">
        <f>H31*'Scope and Scaling Factors'!$Q$20+I31*'Scope and Scaling Factors'!$R$20+J31*'Scope and Scaling Factors'!$R$20+K31*'Scope and Scaling Factors'!$S$20+L31*'Scope and Scaling Factors'!$T$20+M31*'Scope and Scaling Factors'!$U$20+N31*'Scope and Scaling Factors'!$V$20+O31*'Scope and Scaling Factors'!$W$20+P31*'Scope and Scaling Factors'!$X$20</f>
        <v>13182</v>
      </c>
      <c r="G31" s="325">
        <f t="shared" si="3"/>
        <v>146</v>
      </c>
      <c r="H31" s="325">
        <v>6</v>
      </c>
      <c r="I31" s="325">
        <v>4</v>
      </c>
      <c r="J31" s="325">
        <v>16</v>
      </c>
      <c r="K31" s="325">
        <v>20</v>
      </c>
      <c r="L31" s="325">
        <v>25</v>
      </c>
      <c r="M31" s="325">
        <v>25</v>
      </c>
      <c r="N31" s="325"/>
      <c r="O31" s="325">
        <v>25</v>
      </c>
      <c r="P31" s="326">
        <v>25</v>
      </c>
      <c r="Q31" s="69"/>
      <c r="R31" s="6"/>
      <c r="S31" s="16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53"/>
      <c r="ET31" s="136"/>
    </row>
    <row r="32" spans="1:150" ht="15.65" customHeight="1" x14ac:dyDescent="0.35">
      <c r="A32" s="132"/>
      <c r="B32" s="119"/>
      <c r="C32" s="162"/>
      <c r="D32" s="169" t="s">
        <v>80</v>
      </c>
      <c r="E32" s="7"/>
      <c r="F32" s="170">
        <f>H32*'Scope and Scaling Factors'!$Q$20+I32*'Scope and Scaling Factors'!$R$20+J32*'Scope and Scaling Factors'!$R$20+K32*'Scope and Scaling Factors'!$S$20+L32*'Scope and Scaling Factors'!$T$20+M32*'Scope and Scaling Factors'!$U$20+N32*'Scope and Scaling Factors'!$V$20+O32*'Scope and Scaling Factors'!$W$20+P32*'Scope and Scaling Factors'!$X$20</f>
        <v>12498</v>
      </c>
      <c r="G32" s="325">
        <f t="shared" si="3"/>
        <v>142</v>
      </c>
      <c r="H32" s="325">
        <v>6</v>
      </c>
      <c r="I32" s="325"/>
      <c r="J32" s="325">
        <v>16</v>
      </c>
      <c r="K32" s="325">
        <v>20</v>
      </c>
      <c r="L32" s="325">
        <v>25</v>
      </c>
      <c r="M32" s="325">
        <v>25</v>
      </c>
      <c r="N32" s="325"/>
      <c r="O32" s="325">
        <v>25</v>
      </c>
      <c r="P32" s="326">
        <v>25</v>
      </c>
      <c r="Q32" s="69"/>
      <c r="R32" s="6"/>
      <c r="S32" s="16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53"/>
      <c r="ET32" s="136"/>
    </row>
    <row r="33" spans="1:150" ht="15.65" customHeight="1" x14ac:dyDescent="0.35">
      <c r="A33" s="132"/>
      <c r="B33" s="119"/>
      <c r="C33" s="162"/>
      <c r="D33" s="173" t="s">
        <v>81</v>
      </c>
      <c r="E33" s="7"/>
      <c r="F33" s="170">
        <f>H33*'Scope and Scaling Factors'!$Q$20+I33*'Scope and Scaling Factors'!$R$20+J33*'Scope and Scaling Factors'!$R$20+K33*'Scope and Scaling Factors'!$S$20+L33*'Scope and Scaling Factors'!$T$20+M33*'Scope and Scaling Factors'!$U$20+N33*'Scope and Scaling Factors'!$V$20+O33*'Scope and Scaling Factors'!$W$20+P33*'Scope and Scaling Factors'!$X$20</f>
        <v>24996</v>
      </c>
      <c r="G33" s="325">
        <f t="shared" si="3"/>
        <v>284</v>
      </c>
      <c r="H33" s="325">
        <v>12</v>
      </c>
      <c r="I33" s="325"/>
      <c r="J33" s="325">
        <v>32</v>
      </c>
      <c r="K33" s="325">
        <v>40</v>
      </c>
      <c r="L33" s="325">
        <v>50</v>
      </c>
      <c r="M33" s="325">
        <v>50</v>
      </c>
      <c r="N33" s="325"/>
      <c r="O33" s="325">
        <v>50</v>
      </c>
      <c r="P33" s="326">
        <v>50</v>
      </c>
      <c r="Q33" s="69"/>
      <c r="R33" s="6"/>
      <c r="S33" s="16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53"/>
      <c r="ET33" s="136"/>
    </row>
    <row r="34" spans="1:150" ht="15.65" customHeight="1" x14ac:dyDescent="0.35">
      <c r="A34" s="132"/>
      <c r="B34" s="119"/>
      <c r="C34" s="162"/>
      <c r="D34" s="1"/>
      <c r="E34" s="1"/>
      <c r="F34" s="178"/>
      <c r="G34" s="179"/>
      <c r="H34" s="179"/>
      <c r="I34" s="179"/>
      <c r="J34" s="179"/>
      <c r="K34" s="179"/>
      <c r="L34" s="179"/>
      <c r="M34" s="179"/>
      <c r="N34" s="179"/>
      <c r="O34" s="179"/>
      <c r="P34" s="179"/>
      <c r="Q34" s="69"/>
      <c r="R34" s="6"/>
      <c r="S34" s="16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53"/>
      <c r="ET34" s="136"/>
    </row>
    <row r="35" spans="1:150" ht="15.65" customHeight="1" x14ac:dyDescent="0.35">
      <c r="A35" s="132"/>
      <c r="B35" s="119"/>
      <c r="C35" s="162"/>
      <c r="D35" s="1"/>
      <c r="E35" s="1"/>
      <c r="F35" s="178"/>
      <c r="G35" s="179"/>
      <c r="H35" s="179"/>
      <c r="I35" s="179"/>
      <c r="J35" s="179"/>
      <c r="K35" s="179"/>
      <c r="L35" s="179"/>
      <c r="M35" s="179"/>
      <c r="N35" s="179"/>
      <c r="O35" s="179"/>
      <c r="P35" s="179"/>
      <c r="Q35" s="69"/>
      <c r="R35" s="6"/>
      <c r="S35" s="16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53"/>
      <c r="ET35" s="136"/>
    </row>
    <row r="36" spans="1:150" ht="15.65" customHeight="1" x14ac:dyDescent="0.35">
      <c r="A36" s="132"/>
      <c r="B36" s="119"/>
      <c r="C36" s="162"/>
      <c r="D36" s="180" t="s">
        <v>82</v>
      </c>
      <c r="E36" s="181"/>
      <c r="F36" s="184">
        <f>H36*'Scope and Scaling Factors'!$Q$20+I36*'Scope and Scaling Factors'!$R$20+J36*'Scope and Scaling Factors'!$R$20+K36*'Scope and Scaling Factors'!$S$20+L36*'Scope and Scaling Factors'!$T$20+M36*'Scope and Scaling Factors'!$U$20+N36*'Scope and Scaling Factors'!$V$20+O36*'Scope and Scaling Factors'!$W$20+P36*'Scope and Scaling Factors'!$X$20</f>
        <v>8366</v>
      </c>
      <c r="G36" s="184">
        <f>SUM(H36:P36)</f>
        <v>66</v>
      </c>
      <c r="H36" s="184"/>
      <c r="I36" s="184"/>
      <c r="J36" s="184">
        <v>26</v>
      </c>
      <c r="K36" s="184">
        <v>40</v>
      </c>
      <c r="L36" s="184"/>
      <c r="M36" s="184"/>
      <c r="N36" s="184"/>
      <c r="O36" s="184"/>
      <c r="P36" s="183"/>
      <c r="Q36" s="69"/>
      <c r="R36" s="6"/>
      <c r="S36" s="16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53"/>
      <c r="ET36" s="136"/>
    </row>
    <row r="37" spans="1:150" ht="15.65" customHeight="1" x14ac:dyDescent="0.35">
      <c r="A37" s="132"/>
      <c r="B37" s="119"/>
      <c r="C37" s="162"/>
      <c r="D37" s="1"/>
      <c r="E37" s="1"/>
      <c r="F37" s="178"/>
      <c r="G37" s="1"/>
      <c r="H37" s="1"/>
      <c r="I37" s="1"/>
      <c r="J37" s="1"/>
      <c r="K37" s="1"/>
      <c r="L37" s="1"/>
      <c r="M37" s="1"/>
      <c r="N37" s="1"/>
      <c r="O37" s="1"/>
      <c r="P37" s="1"/>
      <c r="Q37" s="69"/>
      <c r="R37" s="6"/>
      <c r="S37" s="16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53"/>
      <c r="ET37" s="136"/>
    </row>
    <row r="38" spans="1:150" ht="15.65" customHeight="1" x14ac:dyDescent="0.35">
      <c r="A38" s="132"/>
      <c r="B38" s="119"/>
      <c r="C38" s="162"/>
      <c r="D38" s="1"/>
      <c r="E38" s="1"/>
      <c r="F38" s="178"/>
      <c r="G38" s="1"/>
      <c r="H38" s="1"/>
      <c r="I38" s="1"/>
      <c r="J38" s="1"/>
      <c r="K38" s="1"/>
      <c r="L38" s="1"/>
      <c r="M38" s="1"/>
      <c r="N38" s="1"/>
      <c r="O38" s="1"/>
      <c r="P38" s="1"/>
      <c r="Q38" s="69"/>
      <c r="R38" s="6"/>
      <c r="S38" s="16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53"/>
      <c r="ET38" s="136"/>
    </row>
    <row r="39" spans="1:150" ht="15.65" customHeight="1" x14ac:dyDescent="0.35">
      <c r="A39" s="132"/>
      <c r="B39" s="119"/>
      <c r="C39" s="162"/>
      <c r="D39" s="185" t="s">
        <v>83</v>
      </c>
      <c r="E39" s="1"/>
      <c r="F39" s="186">
        <f t="shared" ref="F39:P39" si="4">F17+F26+F36</f>
        <v>192928</v>
      </c>
      <c r="G39" s="337">
        <f t="shared" si="4"/>
        <v>2168</v>
      </c>
      <c r="H39" s="337">
        <f t="shared" si="4"/>
        <v>80</v>
      </c>
      <c r="I39" s="337">
        <f t="shared" si="4"/>
        <v>32</v>
      </c>
      <c r="J39" s="337">
        <f t="shared" si="4"/>
        <v>256</v>
      </c>
      <c r="K39" s="337">
        <f t="shared" si="4"/>
        <v>360</v>
      </c>
      <c r="L39" s="337">
        <f t="shared" si="4"/>
        <v>360</v>
      </c>
      <c r="M39" s="337">
        <f t="shared" si="4"/>
        <v>360</v>
      </c>
      <c r="N39" s="337">
        <f t="shared" si="4"/>
        <v>0</v>
      </c>
      <c r="O39" s="337">
        <f t="shared" si="4"/>
        <v>360</v>
      </c>
      <c r="P39" s="337">
        <f t="shared" si="4"/>
        <v>360</v>
      </c>
      <c r="Q39" s="69"/>
      <c r="R39" s="6"/>
      <c r="S39" s="16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53"/>
      <c r="ET39" s="136"/>
    </row>
    <row r="40" spans="1:150" ht="15.65" customHeight="1" x14ac:dyDescent="0.35">
      <c r="A40" s="132"/>
      <c r="B40" s="119"/>
      <c r="C40" s="162"/>
      <c r="D40" s="1"/>
      <c r="E40" s="1"/>
      <c r="F40" s="187"/>
      <c r="G40" s="1"/>
      <c r="H40" s="1"/>
      <c r="I40" s="188"/>
      <c r="J40" s="188"/>
      <c r="K40" s="188"/>
      <c r="L40" s="188"/>
      <c r="M40" s="188"/>
      <c r="N40" s="188"/>
      <c r="O40" s="188"/>
      <c r="P40" s="188"/>
      <c r="Q40" s="69"/>
      <c r="R40" s="6"/>
      <c r="S40" s="16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53"/>
      <c r="ET40" s="136"/>
    </row>
    <row r="41" spans="1:150" ht="15.65" customHeight="1" x14ac:dyDescent="0.35">
      <c r="A41" s="132"/>
      <c r="B41" s="119"/>
      <c r="C41" s="162"/>
      <c r="D41" s="185"/>
      <c r="E41" s="1"/>
      <c r="F41" s="1"/>
      <c r="G41" s="1"/>
      <c r="H41" s="1"/>
      <c r="I41" s="1"/>
      <c r="J41" s="1"/>
      <c r="K41" s="1"/>
      <c r="L41" s="1"/>
      <c r="M41" s="1"/>
      <c r="N41" s="1"/>
      <c r="O41" s="1"/>
      <c r="P41" s="189"/>
      <c r="Q41" s="69"/>
      <c r="R41" s="6"/>
      <c r="S41" s="16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53"/>
      <c r="ET41" s="136"/>
    </row>
    <row r="42" spans="1:150" ht="15.65" customHeight="1" x14ac:dyDescent="0.35">
      <c r="A42" s="132"/>
      <c r="B42" s="119"/>
      <c r="C42" s="162"/>
      <c r="D42" s="1"/>
      <c r="E42" s="1"/>
      <c r="F42" s="1"/>
      <c r="G42" s="1"/>
      <c r="H42" s="1"/>
      <c r="I42" s="1"/>
      <c r="J42" s="1"/>
      <c r="K42" s="1"/>
      <c r="L42" s="1"/>
      <c r="M42" s="1"/>
      <c r="N42" s="1"/>
      <c r="O42" s="1"/>
      <c r="P42" s="1"/>
      <c r="Q42" s="69"/>
      <c r="R42" s="6"/>
      <c r="S42" s="16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53"/>
      <c r="ET42" s="136"/>
    </row>
    <row r="43" spans="1:150" ht="15.65" customHeight="1" x14ac:dyDescent="0.35">
      <c r="A43" s="132"/>
      <c r="B43" s="119"/>
      <c r="C43" s="190"/>
      <c r="D43" s="191"/>
      <c r="E43" s="191"/>
      <c r="F43" s="191"/>
      <c r="G43" s="191"/>
      <c r="H43" s="191"/>
      <c r="I43" s="191"/>
      <c r="J43" s="191"/>
      <c r="K43" s="191"/>
      <c r="L43" s="191"/>
      <c r="M43" s="191"/>
      <c r="N43" s="191"/>
      <c r="O43" s="191"/>
      <c r="P43" s="191"/>
      <c r="Q43" s="192"/>
      <c r="R43" s="6"/>
      <c r="S43" s="16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53"/>
      <c r="ET43" s="136"/>
    </row>
    <row r="44" spans="1:150" ht="15.65" customHeight="1" thickBot="1" x14ac:dyDescent="0.4">
      <c r="A44" s="132"/>
      <c r="B44" s="122"/>
      <c r="C44" s="193"/>
      <c r="D44" s="123"/>
      <c r="E44" s="123"/>
      <c r="F44" s="123"/>
      <c r="G44" s="123"/>
      <c r="H44" s="123"/>
      <c r="I44" s="123"/>
      <c r="J44" s="123"/>
      <c r="K44" s="123"/>
      <c r="L44" s="123"/>
      <c r="M44" s="123"/>
      <c r="N44" s="123"/>
      <c r="O44" s="123"/>
      <c r="P44" s="123"/>
      <c r="Q44" s="194"/>
      <c r="R44" s="15"/>
      <c r="S44" s="16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26"/>
      <c r="ET44" s="136"/>
    </row>
    <row r="45" spans="1:150" ht="15.65" customHeight="1" x14ac:dyDescent="0.3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195"/>
      <c r="AT45" s="195"/>
      <c r="AU45" s="195"/>
      <c r="AV45" s="195"/>
      <c r="AW45" s="195"/>
      <c r="AX45" s="195"/>
      <c r="AY45" s="195"/>
      <c r="AZ45" s="195"/>
      <c r="BA45" s="195"/>
      <c r="BB45" s="195"/>
      <c r="BC45" s="195"/>
      <c r="BD45" s="195"/>
      <c r="BE45" s="195"/>
      <c r="BF45" s="195"/>
      <c r="BG45" s="195"/>
      <c r="BH45" s="195"/>
      <c r="BI45" s="195"/>
      <c r="BJ45" s="195"/>
      <c r="BK45" s="195"/>
      <c r="BL45" s="195"/>
      <c r="BM45" s="195"/>
      <c r="BN45" s="195"/>
      <c r="BO45" s="195"/>
      <c r="BP45" s="195"/>
      <c r="BQ45" s="195"/>
      <c r="BR45" s="195"/>
      <c r="BS45" s="195"/>
      <c r="BT45" s="195"/>
      <c r="BU45" s="195"/>
      <c r="BV45" s="195"/>
      <c r="BW45" s="195"/>
      <c r="BX45" s="195"/>
      <c r="BY45" s="195"/>
      <c r="BZ45" s="195"/>
      <c r="CA45" s="195"/>
      <c r="CB45" s="195"/>
      <c r="CC45" s="195"/>
      <c r="CD45" s="195"/>
      <c r="CE45" s="195"/>
      <c r="CF45" s="195"/>
      <c r="CG45" s="195"/>
      <c r="CH45" s="195"/>
      <c r="CI45" s="195"/>
      <c r="CJ45" s="195"/>
      <c r="CK45" s="195"/>
      <c r="CL45" s="195"/>
      <c r="CM45" s="195"/>
      <c r="CN45" s="195"/>
      <c r="CO45" s="195"/>
      <c r="CP45" s="195"/>
      <c r="CQ45" s="195"/>
      <c r="CR45" s="195"/>
      <c r="CS45" s="195"/>
      <c r="CT45" s="195"/>
      <c r="CU45" s="195"/>
      <c r="CV45" s="195"/>
      <c r="CW45" s="195"/>
      <c r="CX45" s="195"/>
      <c r="CY45" s="195"/>
      <c r="CZ45" s="195"/>
      <c r="DA45" s="195"/>
      <c r="DB45" s="195"/>
      <c r="DC45" s="195"/>
      <c r="DD45" s="195"/>
      <c r="DE45" s="195"/>
      <c r="DF45" s="195"/>
      <c r="DG45" s="195"/>
      <c r="DH45" s="195"/>
      <c r="DI45" s="195"/>
      <c r="DJ45" s="195"/>
      <c r="DK45" s="195"/>
      <c r="DL45" s="195"/>
      <c r="DM45" s="195"/>
      <c r="DN45" s="195"/>
      <c r="DO45" s="195"/>
      <c r="DP45" s="195"/>
      <c r="DQ45" s="195"/>
      <c r="DR45" s="195"/>
      <c r="DS45" s="195"/>
      <c r="DT45" s="195"/>
      <c r="DU45" s="195"/>
      <c r="DV45" s="195"/>
      <c r="DW45" s="195"/>
      <c r="DX45" s="195"/>
      <c r="DY45" s="195"/>
      <c r="DZ45" s="195"/>
      <c r="EA45" s="195"/>
      <c r="EB45" s="195"/>
      <c r="EC45" s="195"/>
      <c r="ED45" s="195"/>
      <c r="EE45" s="195"/>
      <c r="EF45" s="195"/>
      <c r="EG45" s="195"/>
      <c r="EH45" s="195"/>
      <c r="EI45" s="195"/>
      <c r="EJ45" s="195"/>
      <c r="EK45" s="195"/>
      <c r="EL45" s="195"/>
      <c r="EM45" s="195"/>
      <c r="EN45" s="195"/>
      <c r="EO45" s="195"/>
      <c r="EP45" s="195"/>
      <c r="EQ45" s="195"/>
      <c r="ER45" s="195"/>
      <c r="ES45" s="195"/>
    </row>
  </sheetData>
  <sheetProtection formatColumns="0" formatRows="0"/>
  <mergeCells count="4">
    <mergeCell ref="C8:D9"/>
    <mergeCell ref="D14:E15"/>
    <mergeCell ref="F14:G14"/>
    <mergeCell ref="H14:P14"/>
  </mergeCells>
  <pageMargins left="0.7" right="0.7" top="0.75" bottom="0.75" header="0.3" footer="0.3"/>
  <pageSetup orientation="portrait" r:id="rId1"/>
  <drawing r:id="rId2"/>
  <legacyDrawing r:id="rId3"/>
  <controls>
    <mc:AlternateContent xmlns:mc="http://schemas.openxmlformats.org/markup-compatibility/2006">
      <mc:Choice Requires="x14">
        <control shapeId="5121" r:id="rId4" name="CommandButton1">
          <controlPr defaultSize="0" autoLine="0" autoPict="0" r:id="rId5">
            <anchor>
              <from>
                <xdr:col>5</xdr:col>
                <xdr:colOff>406400</xdr:colOff>
                <xdr:row>7</xdr:row>
                <xdr:rowOff>120650</xdr:rowOff>
              </from>
              <to>
                <xdr:col>6</xdr:col>
                <xdr:colOff>647700</xdr:colOff>
                <xdr:row>9</xdr:row>
                <xdr:rowOff>114300</xdr:rowOff>
              </to>
            </anchor>
          </controlPr>
        </control>
      </mc:Choice>
      <mc:Fallback>
        <control shapeId="5121"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B8BDF-BD9F-4FA1-A659-40C4716FA85D}">
  <sheetPr codeName="Sheet14">
    <pageSetUpPr autoPageBreaks="0"/>
  </sheetPr>
  <dimension ref="A1:ET45"/>
  <sheetViews>
    <sheetView topLeftCell="A25" zoomScaleNormal="100" workbookViewId="0">
      <pane xSplit="5" topLeftCell="F1" activePane="topRight" state="frozen"/>
      <selection activeCell="M15" sqref="M15"/>
      <selection pane="topRight" activeCell="G39" sqref="G39:P39"/>
    </sheetView>
  </sheetViews>
  <sheetFormatPr defaultColWidth="8.81640625" defaultRowHeight="15.65" customHeight="1" x14ac:dyDescent="0.35"/>
  <cols>
    <col min="1" max="1" width="1.453125" style="130" customWidth="1"/>
    <col min="2" max="3" width="2.453125" style="130" customWidth="1"/>
    <col min="4" max="4" width="62.81640625" style="130" customWidth="1"/>
    <col min="5" max="5" width="9.1796875" style="130" customWidth="1"/>
    <col min="6" max="6" width="12.1796875" style="130" customWidth="1"/>
    <col min="7" max="7" width="11.453125" style="130" customWidth="1"/>
    <col min="8" max="8" width="8.81640625" style="130" customWidth="1"/>
    <col min="9" max="9" width="11.81640625" style="130" customWidth="1"/>
    <col min="10" max="10" width="9.81640625" style="130" customWidth="1"/>
    <col min="11" max="17" width="8.81640625" style="130" customWidth="1"/>
    <col min="18" max="147" width="8.81640625" style="130" hidden="1" customWidth="1"/>
    <col min="148" max="148" width="2.453125" style="130" hidden="1" customWidth="1"/>
    <col min="149" max="149" width="2.453125" style="130" customWidth="1"/>
    <col min="150" max="16384" width="8.81640625" style="130"/>
  </cols>
  <sheetData>
    <row r="1" spans="1:150" ht="15.65" customHeight="1" thickBot="1" x14ac:dyDescent="0.4">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c r="BJ1" s="131"/>
      <c r="BK1" s="131"/>
      <c r="BL1" s="131"/>
      <c r="BM1" s="131"/>
      <c r="BN1" s="131"/>
      <c r="BO1" s="131"/>
      <c r="BP1" s="131"/>
      <c r="BQ1" s="131"/>
      <c r="BR1" s="131"/>
      <c r="BS1" s="131"/>
      <c r="BT1" s="131"/>
      <c r="BU1" s="131"/>
      <c r="BV1" s="131"/>
      <c r="BW1" s="131"/>
      <c r="BX1" s="131"/>
      <c r="BY1" s="131"/>
      <c r="BZ1" s="131"/>
      <c r="CA1" s="131"/>
      <c r="CB1" s="131"/>
      <c r="CC1" s="131"/>
      <c r="CD1" s="131"/>
      <c r="CE1" s="131"/>
      <c r="CF1" s="131"/>
      <c r="CG1" s="131"/>
      <c r="CH1" s="131"/>
      <c r="CI1" s="131"/>
      <c r="CJ1" s="131"/>
      <c r="CK1" s="131"/>
      <c r="CL1" s="131"/>
      <c r="CM1" s="131"/>
      <c r="CN1" s="131"/>
      <c r="CO1" s="131"/>
      <c r="CP1" s="131"/>
      <c r="CQ1" s="131"/>
      <c r="CR1" s="131"/>
      <c r="CS1" s="131"/>
      <c r="CT1" s="131"/>
      <c r="CU1" s="131"/>
      <c r="CV1" s="131"/>
      <c r="CW1" s="131"/>
      <c r="CX1" s="131"/>
      <c r="CY1" s="131"/>
      <c r="CZ1" s="131"/>
      <c r="DA1" s="131"/>
      <c r="DB1" s="131"/>
      <c r="DC1" s="131"/>
      <c r="DD1" s="131"/>
      <c r="DE1" s="131"/>
      <c r="DF1" s="131"/>
      <c r="DG1" s="131"/>
      <c r="DH1" s="131"/>
      <c r="DI1" s="131"/>
      <c r="DJ1" s="131"/>
      <c r="DK1" s="131"/>
      <c r="DL1" s="131"/>
      <c r="DM1" s="131"/>
      <c r="DN1" s="131"/>
      <c r="DO1" s="131"/>
      <c r="DP1" s="131"/>
      <c r="DQ1" s="131"/>
      <c r="DR1" s="131"/>
      <c r="DS1" s="131"/>
      <c r="DT1" s="131"/>
      <c r="DU1" s="131"/>
      <c r="DV1" s="131"/>
      <c r="DW1" s="131"/>
      <c r="DX1" s="131"/>
      <c r="DY1" s="131"/>
      <c r="DZ1" s="131"/>
      <c r="EA1" s="131"/>
      <c r="EB1" s="131"/>
      <c r="EC1" s="131"/>
      <c r="ED1" s="131"/>
      <c r="EE1" s="131"/>
      <c r="EF1" s="131"/>
      <c r="EG1" s="131"/>
      <c r="EH1" s="131"/>
      <c r="EI1" s="131"/>
      <c r="EJ1" s="131"/>
      <c r="EK1" s="131"/>
      <c r="EL1" s="131"/>
      <c r="EM1" s="131"/>
      <c r="EN1" s="131"/>
      <c r="EO1" s="131"/>
      <c r="EP1" s="131"/>
      <c r="EQ1" s="131"/>
      <c r="ER1" s="131"/>
      <c r="ES1" s="131"/>
    </row>
    <row r="2" spans="1:150" ht="15.65" customHeight="1" thickBot="1" x14ac:dyDescent="0.4">
      <c r="A2" s="132"/>
      <c r="B2" s="133"/>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5"/>
      <c r="ET2" s="136"/>
    </row>
    <row r="3" spans="1:150" ht="15.65" customHeight="1" thickBot="1" x14ac:dyDescent="0.4">
      <c r="A3" s="132"/>
      <c r="B3" s="137"/>
      <c r="C3" s="138" t="s">
        <v>2</v>
      </c>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9"/>
      <c r="ES3" s="139"/>
      <c r="ET3" s="136"/>
    </row>
    <row r="4" spans="1:150" ht="15.65" customHeight="1" thickBot="1" x14ac:dyDescent="0.4">
      <c r="A4" s="132"/>
      <c r="B4" s="137"/>
      <c r="C4" s="140" t="s">
        <v>53</v>
      </c>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c r="CR4" s="52"/>
      <c r="CS4" s="52"/>
      <c r="CT4" s="52"/>
      <c r="CU4" s="52"/>
      <c r="CV4" s="52"/>
      <c r="CW4" s="52"/>
      <c r="CX4" s="52"/>
      <c r="CY4" s="52"/>
      <c r="CZ4" s="52"/>
      <c r="DA4" s="52"/>
      <c r="DB4" s="52"/>
      <c r="DC4" s="52"/>
      <c r="DD4" s="52"/>
      <c r="DE4" s="52"/>
      <c r="DF4" s="52"/>
      <c r="DG4" s="52"/>
      <c r="DH4" s="52"/>
      <c r="DI4" s="52"/>
      <c r="DJ4" s="52"/>
      <c r="DK4" s="52"/>
      <c r="DL4" s="52"/>
      <c r="DM4" s="52"/>
      <c r="DN4" s="52"/>
      <c r="DO4" s="52"/>
      <c r="DP4" s="52"/>
      <c r="DQ4" s="52"/>
      <c r="DR4" s="52"/>
      <c r="DS4" s="52"/>
      <c r="DT4" s="52"/>
      <c r="DU4" s="52"/>
      <c r="DV4" s="52"/>
      <c r="DW4" s="52"/>
      <c r="DX4" s="52"/>
      <c r="DY4" s="52"/>
      <c r="DZ4" s="52"/>
      <c r="EA4" s="52"/>
      <c r="EB4" s="52"/>
      <c r="EC4" s="52"/>
      <c r="ED4" s="52"/>
      <c r="EE4" s="52"/>
      <c r="EF4" s="52"/>
      <c r="EG4" s="52"/>
      <c r="EH4" s="52"/>
      <c r="EI4" s="52"/>
      <c r="EJ4" s="52"/>
      <c r="EK4" s="52"/>
      <c r="EL4" s="52"/>
      <c r="EM4" s="52"/>
      <c r="EN4" s="52"/>
      <c r="EO4" s="52"/>
      <c r="EP4" s="52"/>
      <c r="EQ4" s="52"/>
      <c r="ER4" s="56"/>
      <c r="ES4" s="139"/>
      <c r="ET4" s="136"/>
    </row>
    <row r="5" spans="1:150" ht="15.65" customHeight="1" thickBot="1" x14ac:dyDescent="0.4">
      <c r="A5" s="132"/>
      <c r="B5" s="141"/>
      <c r="C5" s="142" t="s">
        <v>54</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67"/>
      <c r="ES5" s="143"/>
      <c r="ET5" s="136"/>
    </row>
    <row r="6" spans="1:150" ht="15.65" customHeight="1" thickBot="1" x14ac:dyDescent="0.4">
      <c r="A6" s="132"/>
      <c r="B6" s="144"/>
      <c r="C6" s="145" t="s">
        <v>55</v>
      </c>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46"/>
      <c r="ES6" s="147"/>
      <c r="ET6" s="136"/>
    </row>
    <row r="7" spans="1:150" ht="15.65" customHeight="1" x14ac:dyDescent="0.35">
      <c r="A7" s="132"/>
      <c r="B7" s="148"/>
      <c r="C7" s="149"/>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0"/>
      <c r="DL7" s="150"/>
      <c r="DM7" s="150"/>
      <c r="DN7" s="150"/>
      <c r="DO7" s="150"/>
      <c r="DP7" s="150"/>
      <c r="DQ7" s="150"/>
      <c r="DR7" s="150"/>
      <c r="DS7" s="150"/>
      <c r="DT7" s="150"/>
      <c r="DU7" s="150"/>
      <c r="DV7" s="150"/>
      <c r="DW7" s="150"/>
      <c r="DX7" s="150"/>
      <c r="DY7" s="150"/>
      <c r="DZ7" s="150"/>
      <c r="EA7" s="150"/>
      <c r="EB7" s="150"/>
      <c r="EC7" s="150"/>
      <c r="ED7" s="150"/>
      <c r="EE7" s="150"/>
      <c r="EF7" s="150"/>
      <c r="EG7" s="150"/>
      <c r="EH7" s="150"/>
      <c r="EI7" s="150"/>
      <c r="EJ7" s="150"/>
      <c r="EK7" s="150"/>
      <c r="EL7" s="150"/>
      <c r="EM7" s="150"/>
      <c r="EN7" s="150"/>
      <c r="EO7" s="150"/>
      <c r="EP7" s="150"/>
      <c r="EQ7" s="150"/>
      <c r="ER7" s="118"/>
      <c r="ES7" s="147"/>
      <c r="ET7" s="136"/>
    </row>
    <row r="8" spans="1:150" ht="15.65" customHeight="1" x14ac:dyDescent="0.35">
      <c r="A8" s="132"/>
      <c r="B8" s="151"/>
      <c r="C8" s="403" t="s">
        <v>56</v>
      </c>
      <c r="D8" s="404"/>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2"/>
      <c r="CO8" s="152"/>
      <c r="CP8" s="152"/>
      <c r="CQ8" s="152"/>
      <c r="CR8" s="152"/>
      <c r="CS8" s="152"/>
      <c r="CT8" s="152"/>
      <c r="CU8" s="152"/>
      <c r="CV8" s="152"/>
      <c r="CW8" s="152"/>
      <c r="CX8" s="152"/>
      <c r="CY8" s="152"/>
      <c r="CZ8" s="152"/>
      <c r="DA8" s="152"/>
      <c r="DB8" s="152"/>
      <c r="DC8" s="152"/>
      <c r="DD8" s="152"/>
      <c r="DE8" s="152"/>
      <c r="DF8" s="152"/>
      <c r="DG8" s="152"/>
      <c r="DH8" s="152"/>
      <c r="DI8" s="152"/>
      <c r="DJ8" s="152"/>
      <c r="DK8" s="152"/>
      <c r="DL8" s="152"/>
      <c r="DM8" s="152"/>
      <c r="DN8" s="152"/>
      <c r="DO8" s="152"/>
      <c r="DP8" s="152"/>
      <c r="DQ8" s="152"/>
      <c r="DR8" s="152"/>
      <c r="DS8" s="152"/>
      <c r="DT8" s="152"/>
      <c r="DU8" s="152"/>
      <c r="DV8" s="152"/>
      <c r="DW8" s="152"/>
      <c r="DX8" s="152"/>
      <c r="DY8" s="152"/>
      <c r="DZ8" s="152"/>
      <c r="EA8" s="152"/>
      <c r="EB8" s="152"/>
      <c r="EC8" s="152"/>
      <c r="ED8" s="152"/>
      <c r="EE8" s="152"/>
      <c r="EF8" s="152"/>
      <c r="EG8" s="152"/>
      <c r="EH8" s="152"/>
      <c r="EI8" s="152"/>
      <c r="EJ8" s="152"/>
      <c r="EK8" s="152"/>
      <c r="EL8" s="152"/>
      <c r="EM8" s="152"/>
      <c r="EN8" s="152"/>
      <c r="EO8" s="152"/>
      <c r="EP8" s="152"/>
      <c r="EQ8" s="152"/>
      <c r="ER8" s="152"/>
      <c r="ES8" s="153"/>
      <c r="ET8" s="136"/>
    </row>
    <row r="9" spans="1:150" ht="15.65" customHeight="1" x14ac:dyDescent="0.35">
      <c r="A9" s="132"/>
      <c r="B9" s="151"/>
      <c r="C9" s="405"/>
      <c r="D9" s="406"/>
      <c r="E9" s="154"/>
      <c r="F9" s="154"/>
      <c r="G9" s="155"/>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6"/>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3"/>
      <c r="ET9" s="136"/>
    </row>
    <row r="10" spans="1:150" ht="15.65" customHeight="1" thickBot="1" x14ac:dyDescent="0.4">
      <c r="A10" s="132"/>
      <c r="B10" s="25"/>
      <c r="C10" s="15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158"/>
      <c r="EN10" s="27"/>
      <c r="EO10" s="27"/>
      <c r="EP10" s="27"/>
      <c r="EQ10" s="27"/>
      <c r="ER10" s="27"/>
      <c r="ES10" s="153"/>
      <c r="ET10" s="136"/>
    </row>
    <row r="11" spans="1:150" ht="15.65" customHeight="1" x14ac:dyDescent="0.35">
      <c r="A11" s="132"/>
      <c r="B11" s="119"/>
      <c r="C11" s="7"/>
      <c r="D11" s="7"/>
      <c r="E11" s="7"/>
      <c r="F11" s="7"/>
      <c r="G11" s="7"/>
      <c r="H11" s="7"/>
      <c r="I11" s="7"/>
      <c r="J11" s="7"/>
      <c r="K11" s="7"/>
      <c r="L11" s="7"/>
      <c r="M11" s="7"/>
      <c r="N11" s="7"/>
      <c r="O11" s="7"/>
      <c r="P11" s="7"/>
      <c r="Q11" s="7"/>
      <c r="R11" s="4"/>
      <c r="S11" s="159"/>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c r="BS11" s="160"/>
      <c r="BT11" s="160"/>
      <c r="BU11" s="160"/>
      <c r="BV11" s="160"/>
      <c r="BW11" s="160"/>
      <c r="BX11" s="160"/>
      <c r="BY11" s="160"/>
      <c r="BZ11" s="160"/>
      <c r="CA11" s="160"/>
      <c r="CB11" s="160"/>
      <c r="CC11" s="160"/>
      <c r="CD11" s="160"/>
      <c r="CE11" s="160"/>
      <c r="CF11" s="160"/>
      <c r="CG11" s="160"/>
      <c r="CH11" s="160"/>
      <c r="CI11" s="160"/>
      <c r="CJ11" s="160"/>
      <c r="CK11" s="160"/>
      <c r="CL11" s="160"/>
      <c r="CM11" s="160"/>
      <c r="CN11" s="160"/>
      <c r="CO11" s="160"/>
      <c r="CP11" s="160"/>
      <c r="CQ11" s="160"/>
      <c r="CR11" s="160"/>
      <c r="CS11" s="160"/>
      <c r="CT11" s="160"/>
      <c r="CU11" s="160"/>
      <c r="CV11" s="160"/>
      <c r="CW11" s="160"/>
      <c r="CX11" s="160"/>
      <c r="CY11" s="160"/>
      <c r="CZ11" s="160"/>
      <c r="DA11" s="160"/>
      <c r="DB11" s="160"/>
      <c r="DC11" s="160"/>
      <c r="DD11" s="160"/>
      <c r="DE11" s="160"/>
      <c r="DF11" s="160"/>
      <c r="DG11" s="160"/>
      <c r="DH11" s="160"/>
      <c r="DI11" s="160"/>
      <c r="DJ11" s="160"/>
      <c r="DK11" s="160"/>
      <c r="DL11" s="160"/>
      <c r="DM11" s="160"/>
      <c r="DN11" s="160"/>
      <c r="DO11" s="160"/>
      <c r="DP11" s="160"/>
      <c r="DQ11" s="160"/>
      <c r="DR11" s="160"/>
      <c r="DS11" s="160"/>
      <c r="DT11" s="160"/>
      <c r="DU11" s="160"/>
      <c r="DV11" s="160"/>
      <c r="DW11" s="160"/>
      <c r="DX11" s="160"/>
      <c r="DY11" s="160"/>
      <c r="DZ11" s="160"/>
      <c r="EA11" s="160"/>
      <c r="EB11" s="160"/>
      <c r="EC11" s="160"/>
      <c r="ED11" s="160"/>
      <c r="EE11" s="160"/>
      <c r="EF11" s="160"/>
      <c r="EG11" s="160"/>
      <c r="EH11" s="160"/>
      <c r="EI11" s="160"/>
      <c r="EJ11" s="160"/>
      <c r="EK11" s="160"/>
      <c r="EL11" s="160"/>
      <c r="EM11" s="160"/>
      <c r="EN11" s="160"/>
      <c r="EO11" s="160"/>
      <c r="EP11" s="160"/>
      <c r="EQ11" s="160"/>
      <c r="ER11" s="160"/>
      <c r="ES11" s="153"/>
      <c r="ET11" s="136"/>
    </row>
    <row r="12" spans="1:150" ht="15.65" customHeight="1" x14ac:dyDescent="0.35">
      <c r="A12" s="132"/>
      <c r="B12" s="119"/>
      <c r="C12" s="138" t="s">
        <v>57</v>
      </c>
      <c r="D12" s="44"/>
      <c r="E12" s="44"/>
      <c r="F12" s="44"/>
      <c r="G12" s="44"/>
      <c r="H12" s="44"/>
      <c r="I12" s="44"/>
      <c r="J12" s="44"/>
      <c r="K12" s="44"/>
      <c r="L12" s="44"/>
      <c r="M12" s="44"/>
      <c r="N12" s="44"/>
      <c r="O12" s="44"/>
      <c r="P12" s="44"/>
      <c r="Q12" s="49"/>
      <c r="R12" s="6"/>
      <c r="S12" s="16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53"/>
      <c r="ET12" s="136"/>
    </row>
    <row r="13" spans="1:150" ht="15.65" customHeight="1" x14ac:dyDescent="0.35">
      <c r="A13" s="132"/>
      <c r="B13" s="119"/>
      <c r="C13" s="162"/>
      <c r="D13" s="1"/>
      <c r="E13" s="1"/>
      <c r="F13" s="1"/>
      <c r="G13" s="1"/>
      <c r="H13" s="1"/>
      <c r="I13" s="1"/>
      <c r="J13" s="1"/>
      <c r="K13" s="1"/>
      <c r="L13" s="1"/>
      <c r="M13" s="1"/>
      <c r="N13" s="1"/>
      <c r="O13" s="1"/>
      <c r="P13" s="1"/>
      <c r="Q13" s="69"/>
      <c r="R13" s="6"/>
      <c r="S13" s="16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53"/>
      <c r="ET13" s="136"/>
    </row>
    <row r="14" spans="1:150" ht="15.65" customHeight="1" x14ac:dyDescent="0.35">
      <c r="A14" s="132"/>
      <c r="B14" s="119"/>
      <c r="C14" s="162"/>
      <c r="D14" s="407" t="s">
        <v>58</v>
      </c>
      <c r="E14" s="408"/>
      <c r="F14" s="394" t="s">
        <v>59</v>
      </c>
      <c r="G14" s="396"/>
      <c r="H14" s="411" t="s">
        <v>60</v>
      </c>
      <c r="I14" s="411"/>
      <c r="J14" s="411"/>
      <c r="K14" s="411"/>
      <c r="L14" s="411"/>
      <c r="M14" s="411"/>
      <c r="N14" s="411"/>
      <c r="O14" s="411"/>
      <c r="P14" s="411"/>
      <c r="Q14" s="69"/>
      <c r="R14" s="6"/>
      <c r="S14" s="16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53"/>
      <c r="ET14" s="136"/>
    </row>
    <row r="15" spans="1:150" ht="46" customHeight="1" x14ac:dyDescent="0.35">
      <c r="A15" s="132"/>
      <c r="B15" s="119"/>
      <c r="C15" s="162"/>
      <c r="D15" s="409"/>
      <c r="E15" s="410"/>
      <c r="F15" s="163" t="s">
        <v>61</v>
      </c>
      <c r="G15" s="164" t="s">
        <v>62</v>
      </c>
      <c r="H15" s="165" t="s">
        <v>63</v>
      </c>
      <c r="I15" s="165" t="s">
        <v>64</v>
      </c>
      <c r="J15" s="165" t="s">
        <v>65</v>
      </c>
      <c r="K15" s="165" t="s">
        <v>26</v>
      </c>
      <c r="L15" s="165" t="s">
        <v>27</v>
      </c>
      <c r="M15" s="165" t="s">
        <v>28</v>
      </c>
      <c r="N15" s="165" t="s">
        <v>29</v>
      </c>
      <c r="O15" s="165" t="s">
        <v>30</v>
      </c>
      <c r="P15" s="165" t="s">
        <v>31</v>
      </c>
      <c r="Q15" s="69"/>
      <c r="R15" s="6"/>
      <c r="S15" s="16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53"/>
      <c r="ET15" s="136"/>
    </row>
    <row r="16" spans="1:150" ht="15.65" customHeight="1" x14ac:dyDescent="0.35">
      <c r="A16" s="132"/>
      <c r="B16" s="119"/>
      <c r="C16" s="162"/>
      <c r="D16" s="1"/>
      <c r="E16" s="1"/>
      <c r="F16" s="1"/>
      <c r="G16" s="1"/>
      <c r="H16" s="1"/>
      <c r="I16" s="1"/>
      <c r="J16" s="1"/>
      <c r="K16" s="1"/>
      <c r="L16" s="1"/>
      <c r="M16" s="1"/>
      <c r="N16" s="1"/>
      <c r="O16" s="1"/>
      <c r="P16" s="1"/>
      <c r="Q16" s="69"/>
      <c r="R16" s="6"/>
      <c r="S16" s="16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53"/>
      <c r="ET16" s="136"/>
    </row>
    <row r="17" spans="1:150" ht="15.65" customHeight="1" x14ac:dyDescent="0.35">
      <c r="A17" s="132"/>
      <c r="B17" s="119"/>
      <c r="C17" s="162"/>
      <c r="D17" s="166" t="s">
        <v>66</v>
      </c>
      <c r="E17" s="167"/>
      <c r="F17" s="168">
        <f>SUM(F18:F24)</f>
        <v>59735</v>
      </c>
      <c r="G17" s="323">
        <f t="shared" ref="G17:P17" si="0">SUM(G18:G24)</f>
        <v>623</v>
      </c>
      <c r="H17" s="323">
        <f t="shared" si="0"/>
        <v>21</v>
      </c>
      <c r="I17" s="323">
        <f t="shared" si="0"/>
        <v>11</v>
      </c>
      <c r="J17" s="323">
        <f t="shared" si="0"/>
        <v>87</v>
      </c>
      <c r="K17" s="323">
        <f t="shared" si="0"/>
        <v>170</v>
      </c>
      <c r="L17" s="323">
        <f t="shared" si="0"/>
        <v>167</v>
      </c>
      <c r="M17" s="323">
        <f t="shared" si="0"/>
        <v>0</v>
      </c>
      <c r="N17" s="323">
        <f t="shared" si="0"/>
        <v>0</v>
      </c>
      <c r="O17" s="323">
        <f t="shared" si="0"/>
        <v>0</v>
      </c>
      <c r="P17" s="324">
        <f t="shared" si="0"/>
        <v>167</v>
      </c>
      <c r="Q17" s="69"/>
      <c r="R17" s="6"/>
      <c r="S17" s="16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53"/>
      <c r="ET17" s="136"/>
    </row>
    <row r="18" spans="1:150" ht="15.65" customHeight="1" x14ac:dyDescent="0.35">
      <c r="A18" s="132"/>
      <c r="B18" s="119"/>
      <c r="C18" s="162"/>
      <c r="D18" s="169" t="s">
        <v>67</v>
      </c>
      <c r="E18" s="7"/>
      <c r="F18" s="170">
        <f>H18*'Scope and Scaling Factors'!$Q$20+I18*'Scope and Scaling Factors'!$R$20+J18*'Scope and Scaling Factors'!$R$20+K18*'Scope and Scaling Factors'!$S$20+L18*'Scope and Scaling Factors'!$T$20+M18*'Scope and Scaling Factors'!$U$20+N18*'Scope and Scaling Factors'!$V$20+O18*'Scope and Scaling Factors'!$W$20+P18*'Scope and Scaling Factors'!$X$20</f>
        <v>8197</v>
      </c>
      <c r="G18" s="325">
        <f t="shared" ref="G18:G24" si="1">SUM(H18:P18)</f>
        <v>81</v>
      </c>
      <c r="H18" s="325">
        <v>3</v>
      </c>
      <c r="I18" s="325">
        <v>2</v>
      </c>
      <c r="J18" s="325">
        <v>12</v>
      </c>
      <c r="K18" s="325">
        <v>24</v>
      </c>
      <c r="L18" s="325">
        <v>20</v>
      </c>
      <c r="M18" s="325"/>
      <c r="N18" s="325"/>
      <c r="O18" s="325"/>
      <c r="P18" s="325">
        <v>20</v>
      </c>
      <c r="Q18" s="69"/>
      <c r="R18" s="6"/>
      <c r="S18" s="16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53"/>
      <c r="ET18" s="136"/>
    </row>
    <row r="19" spans="1:150" ht="15.65" customHeight="1" x14ac:dyDescent="0.35">
      <c r="A19" s="132"/>
      <c r="B19" s="119"/>
      <c r="C19" s="162"/>
      <c r="D19" s="169" t="s">
        <v>68</v>
      </c>
      <c r="E19" s="7"/>
      <c r="F19" s="170">
        <f>H19*'Scope and Scaling Factors'!$Q$20+I19*'Scope and Scaling Factors'!$R$20+J19*'Scope and Scaling Factors'!$R$20+K19*'Scope and Scaling Factors'!$S$20+L19*'Scope and Scaling Factors'!$T$20+M19*'Scope and Scaling Factors'!$U$20+N19*'Scope and Scaling Factors'!$V$20+O19*'Scope and Scaling Factors'!$W$20+P19*'Scope and Scaling Factors'!$X$20</f>
        <v>6721</v>
      </c>
      <c r="G19" s="325">
        <f t="shared" si="1"/>
        <v>63</v>
      </c>
      <c r="H19" s="325">
        <v>3</v>
      </c>
      <c r="I19" s="325"/>
      <c r="J19" s="325">
        <v>10</v>
      </c>
      <c r="K19" s="325">
        <v>20</v>
      </c>
      <c r="L19" s="325">
        <v>15</v>
      </c>
      <c r="M19" s="325"/>
      <c r="N19" s="325"/>
      <c r="O19" s="325"/>
      <c r="P19" s="325">
        <v>15</v>
      </c>
      <c r="Q19" s="69"/>
      <c r="R19" s="6"/>
      <c r="S19" s="16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53"/>
      <c r="ET19" s="136"/>
    </row>
    <row r="20" spans="1:150" ht="15.65" customHeight="1" x14ac:dyDescent="0.35">
      <c r="A20" s="132"/>
      <c r="B20" s="172"/>
      <c r="C20" s="162"/>
      <c r="D20" s="169" t="s">
        <v>69</v>
      </c>
      <c r="E20" s="7"/>
      <c r="F20" s="170">
        <f>H20*'Scope and Scaling Factors'!$Q$20+I20*'Scope and Scaling Factors'!$R$20+J20*'Scope and Scaling Factors'!$R$20+K20*'Scope and Scaling Factors'!$S$20+L20*'Scope and Scaling Factors'!$T$20+M20*'Scope and Scaling Factors'!$U$20+N20*'Scope and Scaling Factors'!$V$20+O20*'Scope and Scaling Factors'!$W$20+P20*'Scope and Scaling Factors'!$X$20</f>
        <v>9291</v>
      </c>
      <c r="G20" s="325">
        <f t="shared" si="1"/>
        <v>104</v>
      </c>
      <c r="H20" s="325">
        <v>3</v>
      </c>
      <c r="I20" s="325">
        <v>2</v>
      </c>
      <c r="J20" s="325">
        <v>12</v>
      </c>
      <c r="K20" s="325">
        <v>27</v>
      </c>
      <c r="L20" s="325">
        <v>30</v>
      </c>
      <c r="M20" s="325"/>
      <c r="N20" s="325"/>
      <c r="O20" s="325"/>
      <c r="P20" s="325">
        <v>30</v>
      </c>
      <c r="Q20" s="69"/>
      <c r="R20" s="6"/>
      <c r="S20" s="16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53"/>
      <c r="ET20" s="136"/>
    </row>
    <row r="21" spans="1:150" ht="15.65" customHeight="1" x14ac:dyDescent="0.35">
      <c r="A21" s="132"/>
      <c r="B21" s="172"/>
      <c r="C21" s="162"/>
      <c r="D21" s="169" t="s">
        <v>70</v>
      </c>
      <c r="E21" s="7"/>
      <c r="F21" s="170">
        <f>H21*'Scope and Scaling Factors'!$Q$20+I21*'Scope and Scaling Factors'!$R$20+J21*'Scope and Scaling Factors'!$R$20+K21*'Scope and Scaling Factors'!$S$20+L21*'Scope and Scaling Factors'!$T$20+M21*'Scope and Scaling Factors'!$U$20+N21*'Scope and Scaling Factors'!$V$20+O21*'Scope and Scaling Factors'!$W$20+P21*'Scope and Scaling Factors'!$X$20</f>
        <v>8175</v>
      </c>
      <c r="G21" s="325">
        <f t="shared" si="1"/>
        <v>87</v>
      </c>
      <c r="H21" s="325">
        <v>3</v>
      </c>
      <c r="I21" s="325">
        <v>2</v>
      </c>
      <c r="J21" s="325">
        <v>10</v>
      </c>
      <c r="K21" s="325">
        <v>24</v>
      </c>
      <c r="L21" s="325">
        <v>24</v>
      </c>
      <c r="M21" s="325"/>
      <c r="N21" s="325"/>
      <c r="O21" s="325"/>
      <c r="P21" s="325">
        <v>24</v>
      </c>
      <c r="Q21" s="69"/>
      <c r="R21" s="6"/>
      <c r="S21" s="16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53"/>
      <c r="ET21" s="136"/>
    </row>
    <row r="22" spans="1:150" ht="15.65" customHeight="1" x14ac:dyDescent="0.35">
      <c r="A22" s="132"/>
      <c r="B22" s="172"/>
      <c r="C22" s="162"/>
      <c r="D22" s="169" t="s">
        <v>71</v>
      </c>
      <c r="E22" s="7"/>
      <c r="F22" s="170">
        <f>H22*'Scope and Scaling Factors'!$Q$20+I22*'Scope and Scaling Factors'!$R$20+J22*'Scope and Scaling Factors'!$R$20+K22*'Scope and Scaling Factors'!$S$20+L22*'Scope and Scaling Factors'!$T$20+M22*'Scope and Scaling Factors'!$U$20+N22*'Scope and Scaling Factors'!$V$20+O22*'Scope and Scaling Factors'!$W$20+P22*'Scope and Scaling Factors'!$X$20</f>
        <v>9975</v>
      </c>
      <c r="G22" s="325">
        <f t="shared" si="1"/>
        <v>108</v>
      </c>
      <c r="H22" s="325">
        <v>3</v>
      </c>
      <c r="I22" s="325">
        <v>2</v>
      </c>
      <c r="J22" s="325">
        <v>16</v>
      </c>
      <c r="K22" s="325">
        <v>27</v>
      </c>
      <c r="L22" s="325">
        <v>30</v>
      </c>
      <c r="M22" s="325"/>
      <c r="N22" s="325"/>
      <c r="O22" s="325"/>
      <c r="P22" s="325">
        <v>30</v>
      </c>
      <c r="Q22" s="69"/>
      <c r="R22" s="6"/>
      <c r="S22" s="16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53"/>
      <c r="ET22" s="136"/>
    </row>
    <row r="23" spans="1:150" ht="15.65" customHeight="1" x14ac:dyDescent="0.35">
      <c r="A23" s="132"/>
      <c r="B23" s="172"/>
      <c r="C23" s="162"/>
      <c r="D23" s="169" t="s">
        <v>72</v>
      </c>
      <c r="E23" s="7"/>
      <c r="F23" s="170">
        <f>H23*'Scope and Scaling Factors'!$Q$20+I23*'Scope and Scaling Factors'!$R$20+J23*'Scope and Scaling Factors'!$R$20+K23*'Scope and Scaling Factors'!$S$20+L23*'Scope and Scaling Factors'!$T$20+M23*'Scope and Scaling Factors'!$U$20+N23*'Scope and Scaling Factors'!$V$20+O23*'Scope and Scaling Factors'!$W$20+P23*'Scope and Scaling Factors'!$X$20</f>
        <v>7976</v>
      </c>
      <c r="G23" s="325">
        <f t="shared" si="1"/>
        <v>78</v>
      </c>
      <c r="H23" s="325">
        <v>3</v>
      </c>
      <c r="I23" s="325"/>
      <c r="J23" s="325">
        <v>15</v>
      </c>
      <c r="K23" s="325">
        <v>20</v>
      </c>
      <c r="L23" s="325">
        <v>20</v>
      </c>
      <c r="M23" s="325"/>
      <c r="N23" s="325"/>
      <c r="O23" s="325"/>
      <c r="P23" s="325">
        <v>20</v>
      </c>
      <c r="Q23" s="69"/>
      <c r="R23" s="6"/>
      <c r="S23" s="16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53"/>
      <c r="ET23" s="136"/>
    </row>
    <row r="24" spans="1:150" ht="15.65" customHeight="1" x14ac:dyDescent="0.35">
      <c r="A24" s="132"/>
      <c r="B24" s="172"/>
      <c r="C24" s="162"/>
      <c r="D24" s="173" t="s">
        <v>73</v>
      </c>
      <c r="E24" s="174"/>
      <c r="F24" s="175">
        <f>H24*'Scope and Scaling Factors'!$Q$20+I24*'Scope and Scaling Factors'!$R$20+J24*'Scope and Scaling Factors'!$R$20+K24*'Scope and Scaling Factors'!$S$20+L24*'Scope and Scaling Factors'!$T$20+M24*'Scope and Scaling Factors'!$U$20+N24*'Scope and Scaling Factors'!$V$20+O24*'Scope and Scaling Factors'!$W$20+P24*'Scope and Scaling Factors'!$X$20</f>
        <v>9400</v>
      </c>
      <c r="G24" s="327">
        <f t="shared" si="1"/>
        <v>102</v>
      </c>
      <c r="H24" s="327">
        <v>3</v>
      </c>
      <c r="I24" s="327">
        <v>3</v>
      </c>
      <c r="J24" s="327">
        <v>12</v>
      </c>
      <c r="K24" s="327">
        <v>28</v>
      </c>
      <c r="L24" s="327">
        <v>28</v>
      </c>
      <c r="M24" s="327"/>
      <c r="N24" s="327"/>
      <c r="O24" s="327"/>
      <c r="P24" s="327">
        <v>28</v>
      </c>
      <c r="Q24" s="69"/>
      <c r="R24" s="6"/>
      <c r="S24" s="16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53"/>
      <c r="ET24" s="136"/>
    </row>
    <row r="25" spans="1:150" ht="15.65" customHeight="1" x14ac:dyDescent="0.35">
      <c r="A25" s="132"/>
      <c r="B25" s="119"/>
      <c r="C25" s="162"/>
      <c r="D25" s="177"/>
      <c r="E25" s="1"/>
      <c r="F25" s="179"/>
      <c r="G25" s="328"/>
      <c r="H25" s="328"/>
      <c r="I25" s="328"/>
      <c r="J25" s="328"/>
      <c r="K25" s="328"/>
      <c r="L25" s="328"/>
      <c r="M25" s="328"/>
      <c r="N25" s="328"/>
      <c r="O25" s="328"/>
      <c r="P25" s="328"/>
      <c r="Q25" s="69"/>
      <c r="R25" s="6"/>
      <c r="S25" s="16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53"/>
      <c r="ET25" s="136"/>
    </row>
    <row r="26" spans="1:150" ht="15.65" customHeight="1" x14ac:dyDescent="0.35">
      <c r="A26" s="132"/>
      <c r="B26" s="119"/>
      <c r="C26" s="162"/>
      <c r="D26" s="166" t="s">
        <v>74</v>
      </c>
      <c r="E26" s="167"/>
      <c r="F26" s="168">
        <f t="shared" ref="F26:P26" si="2">SUM(F27:F33)</f>
        <v>61413</v>
      </c>
      <c r="G26" s="323">
        <f t="shared" si="2"/>
        <v>680</v>
      </c>
      <c r="H26" s="331">
        <f t="shared" si="2"/>
        <v>19</v>
      </c>
      <c r="I26" s="323">
        <f t="shared" si="2"/>
        <v>5</v>
      </c>
      <c r="J26" s="323">
        <f t="shared" si="2"/>
        <v>95</v>
      </c>
      <c r="K26" s="323">
        <f t="shared" si="2"/>
        <v>175</v>
      </c>
      <c r="L26" s="323">
        <f t="shared" si="2"/>
        <v>193</v>
      </c>
      <c r="M26" s="323">
        <f t="shared" si="2"/>
        <v>0</v>
      </c>
      <c r="N26" s="323">
        <f t="shared" si="2"/>
        <v>0</v>
      </c>
      <c r="O26" s="323">
        <f t="shared" si="2"/>
        <v>0</v>
      </c>
      <c r="P26" s="324">
        <f t="shared" si="2"/>
        <v>193</v>
      </c>
      <c r="Q26" s="69"/>
      <c r="R26" s="6"/>
      <c r="S26" s="16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53"/>
      <c r="ET26" s="136"/>
    </row>
    <row r="27" spans="1:150" ht="15.65" customHeight="1" x14ac:dyDescent="0.35">
      <c r="A27" s="132"/>
      <c r="B27" s="119"/>
      <c r="C27" s="162"/>
      <c r="D27" s="169" t="s">
        <v>75</v>
      </c>
      <c r="E27" s="7"/>
      <c r="F27" s="170">
        <f>H27*'Scope and Scaling Factors'!$Q$20+I27*'Scope and Scaling Factors'!$R$20+J27*'Scope and Scaling Factors'!$R$20+K27*'Scope and Scaling Factors'!$S$20+L27*'Scope and Scaling Factors'!$T$20+M27*'Scope and Scaling Factors'!$U$20+N27*'Scope and Scaling Factors'!$V$20+O27*'Scope and Scaling Factors'!$W$20+P27*'Scope and Scaling Factors'!$X$20</f>
        <v>10098</v>
      </c>
      <c r="G27" s="325">
        <f t="shared" ref="G27:G33" si="3">SUM(H27:P27)</f>
        <v>110</v>
      </c>
      <c r="H27" s="325">
        <v>3</v>
      </c>
      <c r="I27" s="325">
        <v>1</v>
      </c>
      <c r="J27" s="325">
        <v>16</v>
      </c>
      <c r="K27" s="325">
        <v>30</v>
      </c>
      <c r="L27" s="325">
        <v>30</v>
      </c>
      <c r="M27" s="325"/>
      <c r="N27" s="325"/>
      <c r="O27" s="325"/>
      <c r="P27" s="325">
        <v>30</v>
      </c>
      <c r="Q27" s="69"/>
      <c r="R27" s="6"/>
      <c r="S27" s="16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53"/>
      <c r="ET27" s="136"/>
    </row>
    <row r="28" spans="1:150" ht="15.65" customHeight="1" x14ac:dyDescent="0.35">
      <c r="A28" s="132"/>
      <c r="B28" s="119"/>
      <c r="C28" s="162"/>
      <c r="D28" s="169" t="s">
        <v>76</v>
      </c>
      <c r="E28" s="7"/>
      <c r="F28" s="170">
        <f>H28*'Scope and Scaling Factors'!$Q$20+I28*'Scope and Scaling Factors'!$R$20+J28*'Scope and Scaling Factors'!$R$20+K28*'Scope and Scaling Factors'!$S$20+L28*'Scope and Scaling Factors'!$T$20+M28*'Scope and Scaling Factors'!$U$20+N28*'Scope and Scaling Factors'!$V$20+O28*'Scope and Scaling Factors'!$W$20+P28*'Scope and Scaling Factors'!$X$20</f>
        <v>7872</v>
      </c>
      <c r="G28" s="325">
        <f t="shared" si="3"/>
        <v>80</v>
      </c>
      <c r="H28" s="325">
        <v>2</v>
      </c>
      <c r="I28" s="325">
        <v>2</v>
      </c>
      <c r="J28" s="325">
        <v>16</v>
      </c>
      <c r="K28" s="325">
        <v>20</v>
      </c>
      <c r="L28" s="325">
        <v>20</v>
      </c>
      <c r="M28" s="325"/>
      <c r="N28" s="325"/>
      <c r="O28" s="325"/>
      <c r="P28" s="325">
        <v>20</v>
      </c>
      <c r="Q28" s="69"/>
      <c r="R28" s="6"/>
      <c r="S28" s="16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53"/>
      <c r="ET28" s="136"/>
    </row>
    <row r="29" spans="1:150" ht="15.65" customHeight="1" x14ac:dyDescent="0.35">
      <c r="A29" s="132"/>
      <c r="B29" s="119"/>
      <c r="C29" s="162"/>
      <c r="D29" s="169" t="s">
        <v>77</v>
      </c>
      <c r="E29" s="7"/>
      <c r="F29" s="170">
        <f>H29*'Scope and Scaling Factors'!$Q$20+I29*'Scope and Scaling Factors'!$R$20+J29*'Scope and Scaling Factors'!$R$20+K29*'Scope and Scaling Factors'!$S$20+L29*'Scope and Scaling Factors'!$T$20+M29*'Scope and Scaling Factors'!$U$20+N29*'Scope and Scaling Factors'!$V$20+O29*'Scope and Scaling Factors'!$W$20+P29*'Scope and Scaling Factors'!$X$20</f>
        <v>8205</v>
      </c>
      <c r="G29" s="325">
        <f t="shared" si="3"/>
        <v>87</v>
      </c>
      <c r="H29" s="325">
        <v>3</v>
      </c>
      <c r="I29" s="325">
        <v>2</v>
      </c>
      <c r="J29" s="325">
        <v>12</v>
      </c>
      <c r="K29" s="325">
        <v>20</v>
      </c>
      <c r="L29" s="325">
        <v>25</v>
      </c>
      <c r="M29" s="325"/>
      <c r="N29" s="325"/>
      <c r="O29" s="325"/>
      <c r="P29" s="325">
        <v>25</v>
      </c>
      <c r="Q29" s="69"/>
      <c r="R29" s="6"/>
      <c r="S29" s="16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53"/>
      <c r="ET29" s="136"/>
    </row>
    <row r="30" spans="1:150" ht="15.65" customHeight="1" x14ac:dyDescent="0.35">
      <c r="A30" s="132"/>
      <c r="B30" s="119"/>
      <c r="C30" s="162"/>
      <c r="D30" s="169" t="s">
        <v>78</v>
      </c>
      <c r="E30" s="7"/>
      <c r="F30" s="170">
        <f>H30*'Scope and Scaling Factors'!$Q$20+I30*'Scope and Scaling Factors'!$R$20+J30*'Scope and Scaling Factors'!$R$20+K30*'Scope and Scaling Factors'!$S$20+L30*'Scope and Scaling Factors'!$T$20+M30*'Scope and Scaling Factors'!$U$20+N30*'Scope and Scaling Factors'!$V$20+O30*'Scope and Scaling Factors'!$W$20+P30*'Scope and Scaling Factors'!$X$20</f>
        <v>8572</v>
      </c>
      <c r="G30" s="325">
        <f t="shared" si="3"/>
        <v>90</v>
      </c>
      <c r="H30" s="325">
        <v>3</v>
      </c>
      <c r="I30" s="325"/>
      <c r="J30" s="325">
        <v>15</v>
      </c>
      <c r="K30" s="325">
        <v>22</v>
      </c>
      <c r="L30" s="325">
        <v>25</v>
      </c>
      <c r="M30" s="325"/>
      <c r="N30" s="325"/>
      <c r="O30" s="325"/>
      <c r="P30" s="325">
        <v>25</v>
      </c>
      <c r="Q30" s="69"/>
      <c r="R30" s="6"/>
      <c r="S30" s="16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53"/>
      <c r="ET30" s="136"/>
    </row>
    <row r="31" spans="1:150" ht="15.65" customHeight="1" x14ac:dyDescent="0.35">
      <c r="A31" s="132"/>
      <c r="B31" s="119"/>
      <c r="C31" s="162"/>
      <c r="D31" s="169" t="s">
        <v>79</v>
      </c>
      <c r="E31" s="7"/>
      <c r="F31" s="170">
        <f>H31*'Scope and Scaling Factors'!$Q$20+I31*'Scope and Scaling Factors'!$R$20+J31*'Scope and Scaling Factors'!$R$20+K31*'Scope and Scaling Factors'!$S$20+L31*'Scope and Scaling Factors'!$T$20+M31*'Scope and Scaling Factors'!$U$20+N31*'Scope and Scaling Factors'!$V$20+O31*'Scope and Scaling Factors'!$W$20+P31*'Scope and Scaling Factors'!$X$20</f>
        <v>8376</v>
      </c>
      <c r="G31" s="325">
        <f t="shared" si="3"/>
        <v>88</v>
      </c>
      <c r="H31" s="325">
        <v>3</v>
      </c>
      <c r="I31" s="325"/>
      <c r="J31" s="325">
        <v>15</v>
      </c>
      <c r="K31" s="325">
        <v>20</v>
      </c>
      <c r="L31" s="325">
        <v>25</v>
      </c>
      <c r="M31" s="325"/>
      <c r="N31" s="325"/>
      <c r="O31" s="325"/>
      <c r="P31" s="325">
        <v>25</v>
      </c>
      <c r="Q31" s="69"/>
      <c r="R31" s="6"/>
      <c r="S31" s="16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53"/>
      <c r="ET31" s="136"/>
    </row>
    <row r="32" spans="1:150" ht="15.65" customHeight="1" x14ac:dyDescent="0.35">
      <c r="A32" s="132"/>
      <c r="B32" s="119"/>
      <c r="C32" s="162"/>
      <c r="D32" s="169" t="s">
        <v>80</v>
      </c>
      <c r="E32" s="7"/>
      <c r="F32" s="170">
        <f>H32*'Scope and Scaling Factors'!$Q$20+I32*'Scope and Scaling Factors'!$R$20+J32*'Scope and Scaling Factors'!$R$20+K32*'Scope and Scaling Factors'!$S$20+L32*'Scope and Scaling Factors'!$T$20+M32*'Scope and Scaling Factors'!$U$20+N32*'Scope and Scaling Factors'!$V$20+O32*'Scope and Scaling Factors'!$W$20+P32*'Scope and Scaling Factors'!$X$20</f>
        <v>8099</v>
      </c>
      <c r="G32" s="325">
        <f t="shared" si="3"/>
        <v>97</v>
      </c>
      <c r="H32" s="325">
        <v>2</v>
      </c>
      <c r="I32" s="325"/>
      <c r="J32" s="325">
        <v>11</v>
      </c>
      <c r="K32" s="325">
        <v>28</v>
      </c>
      <c r="L32" s="325">
        <v>28</v>
      </c>
      <c r="M32" s="325"/>
      <c r="N32" s="325"/>
      <c r="O32" s="325"/>
      <c r="P32" s="325">
        <v>28</v>
      </c>
      <c r="Q32" s="69"/>
      <c r="R32" s="6"/>
      <c r="S32" s="16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53"/>
      <c r="ET32" s="136"/>
    </row>
    <row r="33" spans="1:150" ht="15.65" customHeight="1" x14ac:dyDescent="0.35">
      <c r="A33" s="132"/>
      <c r="B33" s="119"/>
      <c r="C33" s="162"/>
      <c r="D33" s="173" t="s">
        <v>81</v>
      </c>
      <c r="E33" s="7"/>
      <c r="F33" s="170">
        <f>H33*'Scope and Scaling Factors'!$Q$20+I33*'Scope and Scaling Factors'!$R$20+J33*'Scope and Scaling Factors'!$R$20+K33*'Scope and Scaling Factors'!$S$20+L33*'Scope and Scaling Factors'!$T$20+M33*'Scope and Scaling Factors'!$U$20+N33*'Scope and Scaling Factors'!$V$20+O33*'Scope and Scaling Factors'!$W$20+P33*'Scope and Scaling Factors'!$X$20</f>
        <v>10191</v>
      </c>
      <c r="G33" s="325">
        <f t="shared" si="3"/>
        <v>128</v>
      </c>
      <c r="H33" s="325">
        <v>3</v>
      </c>
      <c r="I33" s="325"/>
      <c r="J33" s="325">
        <v>10</v>
      </c>
      <c r="K33" s="325">
        <v>35</v>
      </c>
      <c r="L33" s="325">
        <v>40</v>
      </c>
      <c r="M33" s="325"/>
      <c r="N33" s="325"/>
      <c r="O33" s="325"/>
      <c r="P33" s="325">
        <v>40</v>
      </c>
      <c r="Q33" s="69"/>
      <c r="R33" s="6"/>
      <c r="S33" s="16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53"/>
      <c r="ET33" s="136"/>
    </row>
    <row r="34" spans="1:150" ht="15.65" customHeight="1" x14ac:dyDescent="0.35">
      <c r="A34" s="132"/>
      <c r="B34" s="119"/>
      <c r="C34" s="162"/>
      <c r="D34" s="1"/>
      <c r="E34" s="1"/>
      <c r="F34" s="178"/>
      <c r="G34" s="179"/>
      <c r="H34" s="179"/>
      <c r="I34" s="179"/>
      <c r="J34" s="179"/>
      <c r="K34" s="179"/>
      <c r="L34" s="179"/>
      <c r="M34" s="179"/>
      <c r="N34" s="179"/>
      <c r="O34" s="179"/>
      <c r="P34" s="179"/>
      <c r="Q34" s="69"/>
      <c r="R34" s="6"/>
      <c r="S34" s="16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53"/>
      <c r="ET34" s="136"/>
    </row>
    <row r="35" spans="1:150" ht="15.65" customHeight="1" x14ac:dyDescent="0.35">
      <c r="A35" s="132"/>
      <c r="B35" s="119"/>
      <c r="C35" s="162"/>
      <c r="D35" s="1"/>
      <c r="E35" s="1"/>
      <c r="F35" s="178"/>
      <c r="G35" s="179"/>
      <c r="H35" s="179"/>
      <c r="I35" s="179"/>
      <c r="J35" s="179"/>
      <c r="K35" s="179"/>
      <c r="L35" s="179"/>
      <c r="M35" s="179"/>
      <c r="N35" s="179"/>
      <c r="O35" s="179"/>
      <c r="P35" s="179"/>
      <c r="Q35" s="69"/>
      <c r="R35" s="6"/>
      <c r="S35" s="16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53"/>
      <c r="ET35" s="136"/>
    </row>
    <row r="36" spans="1:150" ht="15.65" customHeight="1" x14ac:dyDescent="0.35">
      <c r="A36" s="132"/>
      <c r="B36" s="119"/>
      <c r="C36" s="162"/>
      <c r="D36" s="180" t="s">
        <v>82</v>
      </c>
      <c r="E36" s="181"/>
      <c r="F36" s="182">
        <f>H36*'Scope and Scaling Factors'!$Q$20+I36*'Resource Plan - Target Deepdive'!$J$32+J36*'Scope and Scaling Factors'!$R$20+K36*'Scope and Scaling Factors'!$S$20+L36*'Scope and Scaling Factors'!$T$20+M36*'Scope and Scaling Factors'!$U$20+N36*'Scope and Scaling Factors'!$V$20+O36*'Scope and Scaling Factors'!$W$20+P36*'Scope and Scaling Factors'!$X$20</f>
        <v>3180</v>
      </c>
      <c r="G36" s="184">
        <f>SUM(H36:P36)</f>
        <v>25</v>
      </c>
      <c r="H36" s="184"/>
      <c r="I36" s="184"/>
      <c r="J36" s="184">
        <v>10</v>
      </c>
      <c r="K36" s="184">
        <v>15</v>
      </c>
      <c r="L36" s="184"/>
      <c r="M36" s="184"/>
      <c r="N36" s="184"/>
      <c r="O36" s="184"/>
      <c r="P36" s="183"/>
      <c r="Q36" s="69"/>
      <c r="R36" s="6"/>
      <c r="S36" s="16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53"/>
      <c r="ET36" s="136"/>
    </row>
    <row r="37" spans="1:150" ht="15.65" customHeight="1" x14ac:dyDescent="0.35">
      <c r="A37" s="132"/>
      <c r="B37" s="119"/>
      <c r="C37" s="162"/>
      <c r="D37" s="1"/>
      <c r="E37" s="1"/>
      <c r="F37" s="178"/>
      <c r="G37" s="1"/>
      <c r="H37" s="1"/>
      <c r="I37" s="1"/>
      <c r="J37" s="1"/>
      <c r="K37" s="1"/>
      <c r="L37" s="1"/>
      <c r="M37" s="1"/>
      <c r="N37" s="1"/>
      <c r="O37" s="1"/>
      <c r="P37" s="1"/>
      <c r="Q37" s="69"/>
      <c r="R37" s="6"/>
      <c r="S37" s="16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53"/>
      <c r="ET37" s="136"/>
    </row>
    <row r="38" spans="1:150" ht="15.65" customHeight="1" x14ac:dyDescent="0.35">
      <c r="A38" s="132"/>
      <c r="B38" s="119"/>
      <c r="C38" s="162"/>
      <c r="D38" s="1"/>
      <c r="E38" s="1"/>
      <c r="F38" s="178"/>
      <c r="G38" s="1"/>
      <c r="H38" s="1"/>
      <c r="I38" s="1"/>
      <c r="J38" s="1"/>
      <c r="K38" s="1"/>
      <c r="L38" s="1"/>
      <c r="M38" s="1"/>
      <c r="N38" s="1"/>
      <c r="O38" s="1"/>
      <c r="P38" s="1"/>
      <c r="Q38" s="69"/>
      <c r="R38" s="6"/>
      <c r="S38" s="16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53"/>
      <c r="ET38" s="136"/>
    </row>
    <row r="39" spans="1:150" ht="15.65" customHeight="1" x14ac:dyDescent="0.35">
      <c r="A39" s="132"/>
      <c r="B39" s="119"/>
      <c r="C39" s="162"/>
      <c r="D39" s="185" t="s">
        <v>83</v>
      </c>
      <c r="E39" s="1"/>
      <c r="F39" s="186">
        <f t="shared" ref="F39:P39" si="4">F17+F26+F36</f>
        <v>124328</v>
      </c>
      <c r="G39" s="337">
        <f t="shared" si="4"/>
        <v>1328</v>
      </c>
      <c r="H39" s="337">
        <f t="shared" si="4"/>
        <v>40</v>
      </c>
      <c r="I39" s="337">
        <f t="shared" si="4"/>
        <v>16</v>
      </c>
      <c r="J39" s="337">
        <f t="shared" si="4"/>
        <v>192</v>
      </c>
      <c r="K39" s="337">
        <f t="shared" si="4"/>
        <v>360</v>
      </c>
      <c r="L39" s="337">
        <f t="shared" si="4"/>
        <v>360</v>
      </c>
      <c r="M39" s="337">
        <f t="shared" si="4"/>
        <v>0</v>
      </c>
      <c r="N39" s="337">
        <f t="shared" si="4"/>
        <v>0</v>
      </c>
      <c r="O39" s="337">
        <f t="shared" si="4"/>
        <v>0</v>
      </c>
      <c r="P39" s="337">
        <f t="shared" si="4"/>
        <v>360</v>
      </c>
      <c r="Q39" s="69"/>
      <c r="R39" s="6"/>
      <c r="S39" s="16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53"/>
      <c r="ET39" s="136"/>
    </row>
    <row r="40" spans="1:150" ht="15.65" customHeight="1" x14ac:dyDescent="0.35">
      <c r="A40" s="132"/>
      <c r="B40" s="119"/>
      <c r="C40" s="162"/>
      <c r="D40" s="1"/>
      <c r="E40" s="1"/>
      <c r="F40" s="187"/>
      <c r="G40" s="1"/>
      <c r="H40" s="1"/>
      <c r="I40" s="188"/>
      <c r="J40" s="188"/>
      <c r="K40" s="188"/>
      <c r="L40" s="188"/>
      <c r="M40" s="188"/>
      <c r="N40" s="188"/>
      <c r="O40" s="188"/>
      <c r="P40" s="188"/>
      <c r="Q40" s="69"/>
      <c r="R40" s="6"/>
      <c r="S40" s="16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53"/>
      <c r="ET40" s="136"/>
    </row>
    <row r="41" spans="1:150" ht="15.65" customHeight="1" x14ac:dyDescent="0.35">
      <c r="A41" s="132"/>
      <c r="B41" s="119"/>
      <c r="C41" s="162"/>
      <c r="D41" s="185"/>
      <c r="E41" s="1"/>
      <c r="F41" s="1"/>
      <c r="G41" s="1"/>
      <c r="H41" s="1"/>
      <c r="I41" s="1"/>
      <c r="J41" s="1"/>
      <c r="K41" s="1"/>
      <c r="L41" s="1"/>
      <c r="M41" s="1"/>
      <c r="N41" s="1"/>
      <c r="O41" s="1"/>
      <c r="P41" s="189"/>
      <c r="Q41" s="69"/>
      <c r="R41" s="6"/>
      <c r="S41" s="16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53"/>
      <c r="ET41" s="136"/>
    </row>
    <row r="42" spans="1:150" ht="15.65" customHeight="1" x14ac:dyDescent="0.35">
      <c r="A42" s="132"/>
      <c r="B42" s="119"/>
      <c r="C42" s="162"/>
      <c r="D42" s="1"/>
      <c r="E42" s="1"/>
      <c r="F42" s="1"/>
      <c r="G42" s="1"/>
      <c r="H42" s="1"/>
      <c r="I42" s="1"/>
      <c r="J42" s="1"/>
      <c r="K42" s="1"/>
      <c r="L42" s="1"/>
      <c r="M42" s="1"/>
      <c r="N42" s="1"/>
      <c r="O42" s="1"/>
      <c r="P42" s="1"/>
      <c r="Q42" s="69"/>
      <c r="R42" s="6"/>
      <c r="S42" s="16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53"/>
      <c r="ET42" s="136"/>
    </row>
    <row r="43" spans="1:150" ht="15.65" customHeight="1" x14ac:dyDescent="0.35">
      <c r="A43" s="132"/>
      <c r="B43" s="119"/>
      <c r="C43" s="190"/>
      <c r="D43" s="191"/>
      <c r="E43" s="191"/>
      <c r="F43" s="191"/>
      <c r="G43" s="191"/>
      <c r="H43" s="191"/>
      <c r="I43" s="191"/>
      <c r="J43" s="191"/>
      <c r="K43" s="191"/>
      <c r="L43" s="191"/>
      <c r="M43" s="191"/>
      <c r="N43" s="191"/>
      <c r="O43" s="191"/>
      <c r="P43" s="191"/>
      <c r="Q43" s="192"/>
      <c r="R43" s="6"/>
      <c r="S43" s="16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53"/>
      <c r="ET43" s="136"/>
    </row>
    <row r="44" spans="1:150" ht="15.65" customHeight="1" thickBot="1" x14ac:dyDescent="0.4">
      <c r="A44" s="132"/>
      <c r="B44" s="122"/>
      <c r="C44" s="193"/>
      <c r="D44" s="123"/>
      <c r="E44" s="123"/>
      <c r="F44" s="123"/>
      <c r="G44" s="123"/>
      <c r="H44" s="123"/>
      <c r="I44" s="123"/>
      <c r="J44" s="123"/>
      <c r="K44" s="123"/>
      <c r="L44" s="123"/>
      <c r="M44" s="123"/>
      <c r="N44" s="123"/>
      <c r="O44" s="123"/>
      <c r="P44" s="123"/>
      <c r="Q44" s="194"/>
      <c r="R44" s="15"/>
      <c r="S44" s="16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26"/>
      <c r="ET44" s="136"/>
    </row>
    <row r="45" spans="1:150" ht="15.65" customHeight="1" x14ac:dyDescent="0.3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195"/>
      <c r="AT45" s="195"/>
      <c r="AU45" s="195"/>
      <c r="AV45" s="195"/>
      <c r="AW45" s="195"/>
      <c r="AX45" s="195"/>
      <c r="AY45" s="195"/>
      <c r="AZ45" s="195"/>
      <c r="BA45" s="195"/>
      <c r="BB45" s="195"/>
      <c r="BC45" s="195"/>
      <c r="BD45" s="195"/>
      <c r="BE45" s="195"/>
      <c r="BF45" s="195"/>
      <c r="BG45" s="195"/>
      <c r="BH45" s="195"/>
      <c r="BI45" s="195"/>
      <c r="BJ45" s="195"/>
      <c r="BK45" s="195"/>
      <c r="BL45" s="195"/>
      <c r="BM45" s="195"/>
      <c r="BN45" s="195"/>
      <c r="BO45" s="195"/>
      <c r="BP45" s="195"/>
      <c r="BQ45" s="195"/>
      <c r="BR45" s="195"/>
      <c r="BS45" s="195"/>
      <c r="BT45" s="195"/>
      <c r="BU45" s="195"/>
      <c r="BV45" s="195"/>
      <c r="BW45" s="195"/>
      <c r="BX45" s="195"/>
      <c r="BY45" s="195"/>
      <c r="BZ45" s="195"/>
      <c r="CA45" s="195"/>
      <c r="CB45" s="195"/>
      <c r="CC45" s="195"/>
      <c r="CD45" s="195"/>
      <c r="CE45" s="195"/>
      <c r="CF45" s="195"/>
      <c r="CG45" s="195"/>
      <c r="CH45" s="195"/>
      <c r="CI45" s="195"/>
      <c r="CJ45" s="195"/>
      <c r="CK45" s="195"/>
      <c r="CL45" s="195"/>
      <c r="CM45" s="195"/>
      <c r="CN45" s="195"/>
      <c r="CO45" s="195"/>
      <c r="CP45" s="195"/>
      <c r="CQ45" s="195"/>
      <c r="CR45" s="195"/>
      <c r="CS45" s="195"/>
      <c r="CT45" s="195"/>
      <c r="CU45" s="195"/>
      <c r="CV45" s="195"/>
      <c r="CW45" s="195"/>
      <c r="CX45" s="195"/>
      <c r="CY45" s="195"/>
      <c r="CZ45" s="195"/>
      <c r="DA45" s="195"/>
      <c r="DB45" s="195"/>
      <c r="DC45" s="195"/>
      <c r="DD45" s="195"/>
      <c r="DE45" s="195"/>
      <c r="DF45" s="195"/>
      <c r="DG45" s="195"/>
      <c r="DH45" s="195"/>
      <c r="DI45" s="195"/>
      <c r="DJ45" s="195"/>
      <c r="DK45" s="195"/>
      <c r="DL45" s="195"/>
      <c r="DM45" s="195"/>
      <c r="DN45" s="195"/>
      <c r="DO45" s="195"/>
      <c r="DP45" s="195"/>
      <c r="DQ45" s="195"/>
      <c r="DR45" s="195"/>
      <c r="DS45" s="195"/>
      <c r="DT45" s="195"/>
      <c r="DU45" s="195"/>
      <c r="DV45" s="195"/>
      <c r="DW45" s="195"/>
      <c r="DX45" s="195"/>
      <c r="DY45" s="195"/>
      <c r="DZ45" s="195"/>
      <c r="EA45" s="195"/>
      <c r="EB45" s="195"/>
      <c r="EC45" s="195"/>
      <c r="ED45" s="195"/>
      <c r="EE45" s="195"/>
      <c r="EF45" s="195"/>
      <c r="EG45" s="195"/>
      <c r="EH45" s="195"/>
      <c r="EI45" s="195"/>
      <c r="EJ45" s="195"/>
      <c r="EK45" s="195"/>
      <c r="EL45" s="195"/>
      <c r="EM45" s="195"/>
      <c r="EN45" s="195"/>
      <c r="EO45" s="195"/>
      <c r="EP45" s="195"/>
      <c r="EQ45" s="195"/>
      <c r="ER45" s="195"/>
      <c r="ES45" s="195"/>
    </row>
  </sheetData>
  <sheetProtection formatColumns="0" formatRows="0"/>
  <mergeCells count="4">
    <mergeCell ref="C8:D9"/>
    <mergeCell ref="D14:E15"/>
    <mergeCell ref="F14:G14"/>
    <mergeCell ref="H14:P14"/>
  </mergeCell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mmandButton1">
          <controlPr defaultSize="0" autoLine="0" autoPict="0" r:id="rId5">
            <anchor>
              <from>
                <xdr:col>5</xdr:col>
                <xdr:colOff>533400</xdr:colOff>
                <xdr:row>7</xdr:row>
                <xdr:rowOff>177800</xdr:rowOff>
              </from>
              <to>
                <xdr:col>6</xdr:col>
                <xdr:colOff>717550</xdr:colOff>
                <xdr:row>9</xdr:row>
                <xdr:rowOff>165100</xdr:rowOff>
              </to>
            </anchor>
          </controlPr>
        </control>
      </mc:Choice>
      <mc:Fallback>
        <control shapeId="6145"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D9184-6850-4876-BB23-A0AB0DF65D9E}">
  <sheetPr codeName="Sheet13">
    <pageSetUpPr autoPageBreaks="0"/>
  </sheetPr>
  <dimension ref="A1:ET45"/>
  <sheetViews>
    <sheetView zoomScale="80" zoomScaleNormal="80" workbookViewId="0">
      <pane xSplit="5" topLeftCell="H1" activePane="topRight" state="frozen"/>
      <selection activeCell="M15" sqref="M15"/>
      <selection pane="topRight" activeCell="H21" sqref="H21"/>
    </sheetView>
  </sheetViews>
  <sheetFormatPr defaultColWidth="8.81640625" defaultRowHeight="15.65" customHeight="1" x14ac:dyDescent="0.35"/>
  <cols>
    <col min="1" max="1" width="1.453125" style="130" customWidth="1"/>
    <col min="2" max="3" width="2.453125" style="130" customWidth="1"/>
    <col min="4" max="4" width="62.81640625" style="130" customWidth="1"/>
    <col min="5" max="5" width="9.1796875" style="130" customWidth="1"/>
    <col min="6" max="6" width="12.1796875" style="130" customWidth="1"/>
    <col min="7" max="7" width="11.453125" style="130" customWidth="1"/>
    <col min="8" max="8" width="8.81640625" style="130" customWidth="1"/>
    <col min="9" max="9" width="13.453125" style="130" customWidth="1"/>
    <col min="10" max="10" width="12.54296875" style="130" customWidth="1"/>
    <col min="11" max="13" width="8.81640625" style="130" customWidth="1"/>
    <col min="14" max="14" width="10.1796875" style="130" customWidth="1"/>
    <col min="15" max="17" width="8.81640625" style="130" customWidth="1"/>
    <col min="18" max="147" width="8.81640625" style="130" hidden="1" customWidth="1"/>
    <col min="148" max="148" width="2.453125" style="130" hidden="1" customWidth="1"/>
    <col min="149" max="149" width="2.453125" style="130" customWidth="1"/>
    <col min="150" max="16384" width="8.81640625" style="130"/>
  </cols>
  <sheetData>
    <row r="1" spans="1:150" ht="15.65" customHeight="1" thickBot="1" x14ac:dyDescent="0.4">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c r="BJ1" s="131"/>
      <c r="BK1" s="131"/>
      <c r="BL1" s="131"/>
      <c r="BM1" s="131"/>
      <c r="BN1" s="131"/>
      <c r="BO1" s="131"/>
      <c r="BP1" s="131"/>
      <c r="BQ1" s="131"/>
      <c r="BR1" s="131"/>
      <c r="BS1" s="131"/>
      <c r="BT1" s="131"/>
      <c r="BU1" s="131"/>
      <c r="BV1" s="131"/>
      <c r="BW1" s="131"/>
      <c r="BX1" s="131"/>
      <c r="BY1" s="131"/>
      <c r="BZ1" s="131"/>
      <c r="CA1" s="131"/>
      <c r="CB1" s="131"/>
      <c r="CC1" s="131"/>
      <c r="CD1" s="131"/>
      <c r="CE1" s="131"/>
      <c r="CF1" s="131"/>
      <c r="CG1" s="131"/>
      <c r="CH1" s="131"/>
      <c r="CI1" s="131"/>
      <c r="CJ1" s="131"/>
      <c r="CK1" s="131"/>
      <c r="CL1" s="131"/>
      <c r="CM1" s="131"/>
      <c r="CN1" s="131"/>
      <c r="CO1" s="131"/>
      <c r="CP1" s="131"/>
      <c r="CQ1" s="131"/>
      <c r="CR1" s="131"/>
      <c r="CS1" s="131"/>
      <c r="CT1" s="131"/>
      <c r="CU1" s="131"/>
      <c r="CV1" s="131"/>
      <c r="CW1" s="131"/>
      <c r="CX1" s="131"/>
      <c r="CY1" s="131"/>
      <c r="CZ1" s="131"/>
      <c r="DA1" s="131"/>
      <c r="DB1" s="131"/>
      <c r="DC1" s="131"/>
      <c r="DD1" s="131"/>
      <c r="DE1" s="131"/>
      <c r="DF1" s="131"/>
      <c r="DG1" s="131"/>
      <c r="DH1" s="131"/>
      <c r="DI1" s="131"/>
      <c r="DJ1" s="131"/>
      <c r="DK1" s="131"/>
      <c r="DL1" s="131"/>
      <c r="DM1" s="131"/>
      <c r="DN1" s="131"/>
      <c r="DO1" s="131"/>
      <c r="DP1" s="131"/>
      <c r="DQ1" s="131"/>
      <c r="DR1" s="131"/>
      <c r="DS1" s="131"/>
      <c r="DT1" s="131"/>
      <c r="DU1" s="131"/>
      <c r="DV1" s="131"/>
      <c r="DW1" s="131"/>
      <c r="DX1" s="131"/>
      <c r="DY1" s="131"/>
      <c r="DZ1" s="131"/>
      <c r="EA1" s="131"/>
      <c r="EB1" s="131"/>
      <c r="EC1" s="131"/>
      <c r="ED1" s="131"/>
      <c r="EE1" s="131"/>
      <c r="EF1" s="131"/>
      <c r="EG1" s="131"/>
      <c r="EH1" s="131"/>
      <c r="EI1" s="131"/>
      <c r="EJ1" s="131"/>
      <c r="EK1" s="131"/>
      <c r="EL1" s="131"/>
      <c r="EM1" s="131"/>
      <c r="EN1" s="131"/>
      <c r="EO1" s="131"/>
      <c r="EP1" s="131"/>
      <c r="EQ1" s="131"/>
      <c r="ER1" s="131"/>
      <c r="ES1" s="131"/>
    </row>
    <row r="2" spans="1:150" ht="15.65" customHeight="1" thickBot="1" x14ac:dyDescent="0.4">
      <c r="A2" s="132"/>
      <c r="B2" s="133"/>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5"/>
      <c r="ET2" s="136"/>
    </row>
    <row r="3" spans="1:150" ht="15.65" customHeight="1" thickBot="1" x14ac:dyDescent="0.4">
      <c r="A3" s="132"/>
      <c r="B3" s="137"/>
      <c r="C3" s="138" t="s">
        <v>2</v>
      </c>
      <c r="D3" s="44"/>
      <c r="E3" s="44"/>
      <c r="F3" s="44"/>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9"/>
      <c r="ES3" s="139"/>
      <c r="ET3" s="136"/>
    </row>
    <row r="4" spans="1:150" ht="15.65" customHeight="1" thickBot="1" x14ac:dyDescent="0.4">
      <c r="A4" s="132"/>
      <c r="B4" s="137"/>
      <c r="C4" s="140" t="s">
        <v>53</v>
      </c>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c r="CR4" s="52"/>
      <c r="CS4" s="52"/>
      <c r="CT4" s="52"/>
      <c r="CU4" s="52"/>
      <c r="CV4" s="52"/>
      <c r="CW4" s="52"/>
      <c r="CX4" s="52"/>
      <c r="CY4" s="52"/>
      <c r="CZ4" s="52"/>
      <c r="DA4" s="52"/>
      <c r="DB4" s="52"/>
      <c r="DC4" s="52"/>
      <c r="DD4" s="52"/>
      <c r="DE4" s="52"/>
      <c r="DF4" s="52"/>
      <c r="DG4" s="52"/>
      <c r="DH4" s="52"/>
      <c r="DI4" s="52"/>
      <c r="DJ4" s="52"/>
      <c r="DK4" s="52"/>
      <c r="DL4" s="52"/>
      <c r="DM4" s="52"/>
      <c r="DN4" s="52"/>
      <c r="DO4" s="52"/>
      <c r="DP4" s="52"/>
      <c r="DQ4" s="52"/>
      <c r="DR4" s="52"/>
      <c r="DS4" s="52"/>
      <c r="DT4" s="52"/>
      <c r="DU4" s="52"/>
      <c r="DV4" s="52"/>
      <c r="DW4" s="52"/>
      <c r="DX4" s="52"/>
      <c r="DY4" s="52"/>
      <c r="DZ4" s="52"/>
      <c r="EA4" s="52"/>
      <c r="EB4" s="52"/>
      <c r="EC4" s="52"/>
      <c r="ED4" s="52"/>
      <c r="EE4" s="52"/>
      <c r="EF4" s="52"/>
      <c r="EG4" s="52"/>
      <c r="EH4" s="52"/>
      <c r="EI4" s="52"/>
      <c r="EJ4" s="52"/>
      <c r="EK4" s="52"/>
      <c r="EL4" s="52"/>
      <c r="EM4" s="52"/>
      <c r="EN4" s="52"/>
      <c r="EO4" s="52"/>
      <c r="EP4" s="52"/>
      <c r="EQ4" s="52"/>
      <c r="ER4" s="56"/>
      <c r="ES4" s="139"/>
      <c r="ET4" s="136"/>
    </row>
    <row r="5" spans="1:150" ht="15.65" customHeight="1" thickBot="1" x14ac:dyDescent="0.4">
      <c r="A5" s="132"/>
      <c r="B5" s="141"/>
      <c r="C5" s="142" t="s">
        <v>54</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67"/>
      <c r="ES5" s="143"/>
      <c r="ET5" s="136"/>
    </row>
    <row r="6" spans="1:150" ht="15.65" customHeight="1" thickBot="1" x14ac:dyDescent="0.4">
      <c r="A6" s="132"/>
      <c r="B6" s="144"/>
      <c r="C6" s="145" t="s">
        <v>55</v>
      </c>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46"/>
      <c r="ES6" s="147"/>
      <c r="ET6" s="136"/>
    </row>
    <row r="7" spans="1:150" ht="24.65" customHeight="1" x14ac:dyDescent="0.35">
      <c r="A7" s="132"/>
      <c r="B7" s="148"/>
      <c r="C7" s="149"/>
      <c r="D7" s="150"/>
      <c r="E7" s="150"/>
      <c r="F7" s="150"/>
      <c r="G7" s="150"/>
      <c r="H7" s="150"/>
      <c r="I7" s="150"/>
      <c r="J7" s="150"/>
      <c r="K7" s="150"/>
      <c r="L7" s="150"/>
      <c r="M7" s="150"/>
      <c r="N7" s="150"/>
      <c r="O7" s="150"/>
      <c r="P7" s="150"/>
      <c r="Q7" s="150"/>
      <c r="R7" s="150"/>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0"/>
      <c r="DL7" s="150"/>
      <c r="DM7" s="150"/>
      <c r="DN7" s="150"/>
      <c r="DO7" s="150"/>
      <c r="DP7" s="150"/>
      <c r="DQ7" s="150"/>
      <c r="DR7" s="150"/>
      <c r="DS7" s="150"/>
      <c r="DT7" s="150"/>
      <c r="DU7" s="150"/>
      <c r="DV7" s="150"/>
      <c r="DW7" s="150"/>
      <c r="DX7" s="150"/>
      <c r="DY7" s="150"/>
      <c r="DZ7" s="150"/>
      <c r="EA7" s="150"/>
      <c r="EB7" s="150"/>
      <c r="EC7" s="150"/>
      <c r="ED7" s="150"/>
      <c r="EE7" s="150"/>
      <c r="EF7" s="150"/>
      <c r="EG7" s="150"/>
      <c r="EH7" s="150"/>
      <c r="EI7" s="150"/>
      <c r="EJ7" s="150"/>
      <c r="EK7" s="150"/>
      <c r="EL7" s="150"/>
      <c r="EM7" s="150"/>
      <c r="EN7" s="150"/>
      <c r="EO7" s="150"/>
      <c r="EP7" s="150"/>
      <c r="EQ7" s="150"/>
      <c r="ER7" s="118"/>
      <c r="ES7" s="147"/>
      <c r="ET7" s="136"/>
    </row>
    <row r="8" spans="1:150" ht="15.65" customHeight="1" x14ac:dyDescent="0.35">
      <c r="A8" s="132"/>
      <c r="B8" s="151"/>
      <c r="C8" s="403" t="s">
        <v>56</v>
      </c>
      <c r="D8" s="404"/>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2"/>
      <c r="CO8" s="152"/>
      <c r="CP8" s="152"/>
      <c r="CQ8" s="152"/>
      <c r="CR8" s="152"/>
      <c r="CS8" s="152"/>
      <c r="CT8" s="152"/>
      <c r="CU8" s="152"/>
      <c r="CV8" s="152"/>
      <c r="CW8" s="152"/>
      <c r="CX8" s="152"/>
      <c r="CY8" s="152"/>
      <c r="CZ8" s="152"/>
      <c r="DA8" s="152"/>
      <c r="DB8" s="152"/>
      <c r="DC8" s="152"/>
      <c r="DD8" s="152"/>
      <c r="DE8" s="152"/>
      <c r="DF8" s="152"/>
      <c r="DG8" s="152"/>
      <c r="DH8" s="152"/>
      <c r="DI8" s="152"/>
      <c r="DJ8" s="152"/>
      <c r="DK8" s="152"/>
      <c r="DL8" s="152"/>
      <c r="DM8" s="152"/>
      <c r="DN8" s="152"/>
      <c r="DO8" s="152"/>
      <c r="DP8" s="152"/>
      <c r="DQ8" s="152"/>
      <c r="DR8" s="152"/>
      <c r="DS8" s="152"/>
      <c r="DT8" s="152"/>
      <c r="DU8" s="152"/>
      <c r="DV8" s="152"/>
      <c r="DW8" s="152"/>
      <c r="DX8" s="152"/>
      <c r="DY8" s="152"/>
      <c r="DZ8" s="152"/>
      <c r="EA8" s="152"/>
      <c r="EB8" s="152"/>
      <c r="EC8" s="152"/>
      <c r="ED8" s="152"/>
      <c r="EE8" s="152"/>
      <c r="EF8" s="152"/>
      <c r="EG8" s="152"/>
      <c r="EH8" s="152"/>
      <c r="EI8" s="152"/>
      <c r="EJ8" s="152"/>
      <c r="EK8" s="152"/>
      <c r="EL8" s="152"/>
      <c r="EM8" s="152"/>
      <c r="EN8" s="152"/>
      <c r="EO8" s="152"/>
      <c r="EP8" s="152"/>
      <c r="EQ8" s="152"/>
      <c r="ER8" s="152"/>
      <c r="ES8" s="153"/>
      <c r="ET8" s="136"/>
    </row>
    <row r="9" spans="1:150" ht="15.65" customHeight="1" x14ac:dyDescent="0.35">
      <c r="A9" s="132"/>
      <c r="B9" s="151"/>
      <c r="C9" s="405"/>
      <c r="D9" s="406"/>
      <c r="E9" s="154"/>
      <c r="F9" s="154"/>
      <c r="G9" s="155"/>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6"/>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3"/>
      <c r="ET9" s="136"/>
    </row>
    <row r="10" spans="1:150" ht="15.65" customHeight="1" thickBot="1" x14ac:dyDescent="0.4">
      <c r="A10" s="132"/>
      <c r="B10" s="25"/>
      <c r="C10" s="15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158"/>
      <c r="EN10" s="27"/>
      <c r="EO10" s="27"/>
      <c r="EP10" s="27"/>
      <c r="EQ10" s="27"/>
      <c r="ER10" s="27"/>
      <c r="ES10" s="153"/>
      <c r="ET10" s="136"/>
    </row>
    <row r="11" spans="1:150" ht="15.65" customHeight="1" x14ac:dyDescent="0.35">
      <c r="A11" s="132"/>
      <c r="B11" s="119"/>
      <c r="C11" s="7"/>
      <c r="D11" s="7"/>
      <c r="E11" s="7"/>
      <c r="F11" s="7"/>
      <c r="G11" s="7"/>
      <c r="H11" s="7"/>
      <c r="I11" s="7"/>
      <c r="J11" s="7"/>
      <c r="K11" s="7"/>
      <c r="L11" s="7"/>
      <c r="M11" s="7"/>
      <c r="N11" s="7"/>
      <c r="O11" s="7"/>
      <c r="P11" s="7"/>
      <c r="Q11" s="7"/>
      <c r="R11" s="4"/>
      <c r="S11" s="159"/>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c r="BS11" s="160"/>
      <c r="BT11" s="160"/>
      <c r="BU11" s="160"/>
      <c r="BV11" s="160"/>
      <c r="BW11" s="160"/>
      <c r="BX11" s="160"/>
      <c r="BY11" s="160"/>
      <c r="BZ11" s="160"/>
      <c r="CA11" s="160"/>
      <c r="CB11" s="160"/>
      <c r="CC11" s="160"/>
      <c r="CD11" s="160"/>
      <c r="CE11" s="160"/>
      <c r="CF11" s="160"/>
      <c r="CG11" s="160"/>
      <c r="CH11" s="160"/>
      <c r="CI11" s="160"/>
      <c r="CJ11" s="160"/>
      <c r="CK11" s="160"/>
      <c r="CL11" s="160"/>
      <c r="CM11" s="160"/>
      <c r="CN11" s="160"/>
      <c r="CO11" s="160"/>
      <c r="CP11" s="160"/>
      <c r="CQ11" s="160"/>
      <c r="CR11" s="160"/>
      <c r="CS11" s="160"/>
      <c r="CT11" s="160"/>
      <c r="CU11" s="160"/>
      <c r="CV11" s="160"/>
      <c r="CW11" s="160"/>
      <c r="CX11" s="160"/>
      <c r="CY11" s="160"/>
      <c r="CZ11" s="160"/>
      <c r="DA11" s="160"/>
      <c r="DB11" s="160"/>
      <c r="DC11" s="160"/>
      <c r="DD11" s="160"/>
      <c r="DE11" s="160"/>
      <c r="DF11" s="160"/>
      <c r="DG11" s="160"/>
      <c r="DH11" s="160"/>
      <c r="DI11" s="160"/>
      <c r="DJ11" s="160"/>
      <c r="DK11" s="160"/>
      <c r="DL11" s="160"/>
      <c r="DM11" s="160"/>
      <c r="DN11" s="160"/>
      <c r="DO11" s="160"/>
      <c r="DP11" s="160"/>
      <c r="DQ11" s="160"/>
      <c r="DR11" s="160"/>
      <c r="DS11" s="160"/>
      <c r="DT11" s="160"/>
      <c r="DU11" s="160"/>
      <c r="DV11" s="160"/>
      <c r="DW11" s="160"/>
      <c r="DX11" s="160"/>
      <c r="DY11" s="160"/>
      <c r="DZ11" s="160"/>
      <c r="EA11" s="160"/>
      <c r="EB11" s="160"/>
      <c r="EC11" s="160"/>
      <c r="ED11" s="160"/>
      <c r="EE11" s="160"/>
      <c r="EF11" s="160"/>
      <c r="EG11" s="160"/>
      <c r="EH11" s="160"/>
      <c r="EI11" s="160"/>
      <c r="EJ11" s="160"/>
      <c r="EK11" s="160"/>
      <c r="EL11" s="160"/>
      <c r="EM11" s="160"/>
      <c r="EN11" s="160"/>
      <c r="EO11" s="160"/>
      <c r="EP11" s="160"/>
      <c r="EQ11" s="160"/>
      <c r="ER11" s="160"/>
      <c r="ES11" s="153"/>
      <c r="ET11" s="136"/>
    </row>
    <row r="12" spans="1:150" ht="15.65" customHeight="1" x14ac:dyDescent="0.35">
      <c r="A12" s="132"/>
      <c r="B12" s="119"/>
      <c r="C12" s="138" t="s">
        <v>57</v>
      </c>
      <c r="D12" s="44"/>
      <c r="E12" s="44"/>
      <c r="F12" s="44"/>
      <c r="G12" s="44"/>
      <c r="H12" s="44"/>
      <c r="I12" s="44"/>
      <c r="J12" s="44"/>
      <c r="K12" s="44"/>
      <c r="L12" s="44"/>
      <c r="M12" s="44"/>
      <c r="N12" s="44"/>
      <c r="O12" s="44"/>
      <c r="P12" s="44"/>
      <c r="Q12" s="49"/>
      <c r="R12" s="6"/>
      <c r="S12" s="16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53"/>
      <c r="ET12" s="136"/>
    </row>
    <row r="13" spans="1:150" ht="15.65" customHeight="1" x14ac:dyDescent="0.35">
      <c r="A13" s="132"/>
      <c r="B13" s="119"/>
      <c r="C13" s="162"/>
      <c r="D13" s="1"/>
      <c r="E13" s="1"/>
      <c r="F13" s="1"/>
      <c r="G13" s="1"/>
      <c r="H13" s="1"/>
      <c r="I13" s="1"/>
      <c r="J13" s="1"/>
      <c r="K13" s="1"/>
      <c r="L13" s="1"/>
      <c r="M13" s="1"/>
      <c r="N13" s="1"/>
      <c r="O13" s="1"/>
      <c r="P13" s="1"/>
      <c r="Q13" s="69"/>
      <c r="R13" s="6"/>
      <c r="S13" s="16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53"/>
      <c r="ET13" s="136"/>
    </row>
    <row r="14" spans="1:150" ht="15.65" customHeight="1" x14ac:dyDescent="0.35">
      <c r="A14" s="132"/>
      <c r="B14" s="119"/>
      <c r="C14" s="162"/>
      <c r="D14" s="407" t="s">
        <v>58</v>
      </c>
      <c r="E14" s="408"/>
      <c r="F14" s="394" t="s">
        <v>59</v>
      </c>
      <c r="G14" s="396"/>
      <c r="H14" s="411" t="s">
        <v>60</v>
      </c>
      <c r="I14" s="411"/>
      <c r="J14" s="411"/>
      <c r="K14" s="411"/>
      <c r="L14" s="411"/>
      <c r="M14" s="411"/>
      <c r="N14" s="411"/>
      <c r="O14" s="411"/>
      <c r="P14" s="411"/>
      <c r="Q14" s="69"/>
      <c r="R14" s="6"/>
      <c r="S14" s="16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53"/>
      <c r="ET14" s="136"/>
    </row>
    <row r="15" spans="1:150" ht="33" customHeight="1" x14ac:dyDescent="0.35">
      <c r="A15" s="132"/>
      <c r="B15" s="119"/>
      <c r="C15" s="162"/>
      <c r="D15" s="409"/>
      <c r="E15" s="410"/>
      <c r="F15" s="163" t="s">
        <v>61</v>
      </c>
      <c r="G15" s="164" t="s">
        <v>62</v>
      </c>
      <c r="H15" s="165" t="s">
        <v>63</v>
      </c>
      <c r="I15" s="165" t="s">
        <v>64</v>
      </c>
      <c r="J15" s="165" t="s">
        <v>65</v>
      </c>
      <c r="K15" s="165" t="s">
        <v>26</v>
      </c>
      <c r="L15" s="165" t="s">
        <v>27</v>
      </c>
      <c r="M15" s="165" t="s">
        <v>28</v>
      </c>
      <c r="N15" s="165" t="s">
        <v>29</v>
      </c>
      <c r="O15" s="165" t="s">
        <v>30</v>
      </c>
      <c r="P15" s="165" t="s">
        <v>31</v>
      </c>
      <c r="Q15" s="69"/>
      <c r="R15" s="6"/>
      <c r="S15" s="16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53"/>
      <c r="ET15" s="136"/>
    </row>
    <row r="16" spans="1:150" ht="15.65" customHeight="1" x14ac:dyDescent="0.35">
      <c r="A16" s="132"/>
      <c r="B16" s="119"/>
      <c r="C16" s="162"/>
      <c r="D16" s="1"/>
      <c r="E16" s="1"/>
      <c r="F16" s="1"/>
      <c r="G16" s="321"/>
      <c r="H16" s="321"/>
      <c r="I16" s="321"/>
      <c r="J16" s="321"/>
      <c r="K16" s="321"/>
      <c r="L16" s="321"/>
      <c r="M16" s="321"/>
      <c r="N16" s="321"/>
      <c r="O16" s="321"/>
      <c r="P16" s="321"/>
      <c r="Q16" s="69"/>
      <c r="R16" s="6"/>
      <c r="S16" s="16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53"/>
      <c r="ET16" s="136"/>
    </row>
    <row r="17" spans="1:150" ht="15.65" customHeight="1" x14ac:dyDescent="0.35">
      <c r="A17" s="132"/>
      <c r="B17" s="119"/>
      <c r="C17" s="162"/>
      <c r="D17" s="166" t="s">
        <v>66</v>
      </c>
      <c r="E17" s="167"/>
      <c r="F17" s="168">
        <f>SUM(F18:F24)</f>
        <v>114302</v>
      </c>
      <c r="G17" s="332">
        <f t="shared" ref="G17:N17" si="0">SUM(G18:G24)</f>
        <v>1262</v>
      </c>
      <c r="H17" s="332">
        <f t="shared" si="0"/>
        <v>50</v>
      </c>
      <c r="I17" s="332">
        <f t="shared" si="0"/>
        <v>22</v>
      </c>
      <c r="J17" s="332">
        <f t="shared" si="0"/>
        <v>150</v>
      </c>
      <c r="K17" s="332">
        <f t="shared" si="0"/>
        <v>200</v>
      </c>
      <c r="L17" s="332">
        <f t="shared" si="0"/>
        <v>210</v>
      </c>
      <c r="M17" s="332">
        <f t="shared" si="0"/>
        <v>210</v>
      </c>
      <c r="N17" s="332">
        <f t="shared" si="0"/>
        <v>0</v>
      </c>
      <c r="O17" s="332">
        <f t="shared" ref="O17:P17" si="1">SUM(O18:O24)</f>
        <v>210</v>
      </c>
      <c r="P17" s="332">
        <f t="shared" si="1"/>
        <v>210</v>
      </c>
      <c r="Q17" s="69"/>
      <c r="R17" s="6"/>
      <c r="S17" s="16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53"/>
      <c r="ET17" s="136"/>
    </row>
    <row r="18" spans="1:150" ht="15.65" customHeight="1" x14ac:dyDescent="0.35">
      <c r="A18" s="132"/>
      <c r="B18" s="119"/>
      <c r="C18" s="162"/>
      <c r="D18" s="169" t="s">
        <v>67</v>
      </c>
      <c r="E18" s="7"/>
      <c r="F18" s="170">
        <f>H18*'Scope and Scaling Factors'!$Q$20+I18*'Scope and Scaling Factors'!$R$20+J18*'Scope and Scaling Factors'!$R$20+K18*'Scope and Scaling Factors'!$S$20+L18*'Scope and Scaling Factors'!$T$20+M18*'Scope and Scaling Factors'!$U$20+N18*'Scope and Scaling Factors'!$V$20+O18*'Scope and Scaling Factors'!$W$20+P18*'Scope and Scaling Factors'!$X$20</f>
        <v>18770</v>
      </c>
      <c r="G18" s="325">
        <f>SUM(H18:P18)</f>
        <v>140</v>
      </c>
      <c r="H18" s="325">
        <v>15</v>
      </c>
      <c r="I18" s="325">
        <v>5</v>
      </c>
      <c r="J18" s="325">
        <v>20</v>
      </c>
      <c r="K18" s="325">
        <v>20</v>
      </c>
      <c r="L18" s="325">
        <v>20</v>
      </c>
      <c r="M18" s="325">
        <v>20</v>
      </c>
      <c r="N18" s="325"/>
      <c r="O18" s="325">
        <v>20</v>
      </c>
      <c r="P18" s="325">
        <v>20</v>
      </c>
      <c r="Q18" s="69"/>
      <c r="R18" s="6"/>
      <c r="S18" s="16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53"/>
      <c r="ET18" s="136"/>
    </row>
    <row r="19" spans="1:150" ht="15.65" customHeight="1" x14ac:dyDescent="0.35">
      <c r="A19" s="132"/>
      <c r="B19" s="119"/>
      <c r="C19" s="162"/>
      <c r="D19" s="169" t="s">
        <v>68</v>
      </c>
      <c r="E19" s="7"/>
      <c r="F19" s="170">
        <f>H19*'Scope and Scaling Factors'!$Q$20+I19*'Resource Plan - Target Deepdive'!$J$32+J19*'Scope and Scaling Factors'!$R$20+K19*'Scope and Scaling Factors'!$S$20+L19*'Scope and Scaling Factors'!$T$20+M19*'Scope and Scaling Factors'!$U$20+N19*'Scope and Scaling Factors'!$V$20+O19*'Scope and Scaling Factors'!$W$20+P19*'Scope and Scaling Factors'!$X$20</f>
        <v>13155</v>
      </c>
      <c r="G19" s="325">
        <f t="shared" ref="G19:G24" si="2">SUM(H19:P19)</f>
        <v>105</v>
      </c>
      <c r="H19" s="325">
        <v>10</v>
      </c>
      <c r="I19" s="325"/>
      <c r="J19" s="325">
        <v>15</v>
      </c>
      <c r="K19" s="325">
        <v>20</v>
      </c>
      <c r="L19" s="325">
        <v>15</v>
      </c>
      <c r="M19" s="325">
        <v>15</v>
      </c>
      <c r="N19" s="325"/>
      <c r="O19" s="325">
        <v>15</v>
      </c>
      <c r="P19" s="325">
        <v>15</v>
      </c>
      <c r="Q19" s="69"/>
      <c r="R19" s="6"/>
      <c r="S19" s="16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53"/>
      <c r="ET19" s="136"/>
    </row>
    <row r="20" spans="1:150" ht="15.65" customHeight="1" x14ac:dyDescent="0.35">
      <c r="A20" s="132"/>
      <c r="B20" s="172"/>
      <c r="C20" s="162"/>
      <c r="D20" s="169" t="s">
        <v>69</v>
      </c>
      <c r="E20" s="7"/>
      <c r="F20" s="170">
        <f>H20*'Scope and Scaling Factors'!$Q$20+I20*'Resource Plan - Target Deepdive'!$J$32+J20*'Scope and Scaling Factors'!$R$20+K20*'Scope and Scaling Factors'!$S$20+L20*'Scope and Scaling Factors'!$T$20+M20*'Scope and Scaling Factors'!$U$20+N20*'Scope and Scaling Factors'!$V$20+O20*'Scope and Scaling Factors'!$W$20+P20*'Scope and Scaling Factors'!$X$20</f>
        <v>16075</v>
      </c>
      <c r="G20" s="325">
        <f t="shared" si="2"/>
        <v>185</v>
      </c>
      <c r="H20" s="325">
        <v>5</v>
      </c>
      <c r="I20" s="325">
        <v>5</v>
      </c>
      <c r="J20" s="325">
        <v>25</v>
      </c>
      <c r="K20" s="325">
        <v>30</v>
      </c>
      <c r="L20" s="325">
        <v>30</v>
      </c>
      <c r="M20" s="325">
        <v>30</v>
      </c>
      <c r="N20" s="325"/>
      <c r="O20" s="325">
        <v>30</v>
      </c>
      <c r="P20" s="325">
        <v>30</v>
      </c>
      <c r="Q20" s="69"/>
      <c r="R20" s="6"/>
      <c r="S20" s="16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53"/>
      <c r="ET20" s="136"/>
    </row>
    <row r="21" spans="1:150" ht="15.65" customHeight="1" x14ac:dyDescent="0.35">
      <c r="A21" s="132"/>
      <c r="B21" s="172"/>
      <c r="C21" s="162"/>
      <c r="D21" s="169" t="s">
        <v>70</v>
      </c>
      <c r="E21" s="7"/>
      <c r="F21" s="170">
        <f>H21*'Scope and Scaling Factors'!$Q$20+I21*'Resource Plan - Target Deepdive'!$J$32+J21*'Scope and Scaling Factors'!$R$20+K21*'Scope and Scaling Factors'!$S$20+L21*'Scope and Scaling Factors'!$T$20+M21*'Scope and Scaling Factors'!$U$20+N21*'Scope and Scaling Factors'!$V$20+O21*'Scope and Scaling Factors'!$W$20+P21*'Scope and Scaling Factors'!$X$20</f>
        <v>16075</v>
      </c>
      <c r="G21" s="325">
        <f t="shared" si="2"/>
        <v>185</v>
      </c>
      <c r="H21" s="325">
        <v>5</v>
      </c>
      <c r="I21" s="325">
        <v>5</v>
      </c>
      <c r="J21" s="325">
        <v>25</v>
      </c>
      <c r="K21" s="325">
        <v>30</v>
      </c>
      <c r="L21" s="325">
        <v>30</v>
      </c>
      <c r="M21" s="325">
        <v>30</v>
      </c>
      <c r="N21" s="325"/>
      <c r="O21" s="325">
        <v>30</v>
      </c>
      <c r="P21" s="325">
        <v>30</v>
      </c>
      <c r="Q21" s="69"/>
      <c r="R21" s="6"/>
      <c r="S21" s="16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53"/>
      <c r="ET21" s="136"/>
    </row>
    <row r="22" spans="1:150" ht="15.65" customHeight="1" x14ac:dyDescent="0.35">
      <c r="A22" s="132"/>
      <c r="B22" s="172"/>
      <c r="C22" s="162"/>
      <c r="D22" s="169" t="s">
        <v>71</v>
      </c>
      <c r="E22" s="7"/>
      <c r="F22" s="170">
        <f>H22*'Scope and Scaling Factors'!$Q$20+I22*'Resource Plan - Target Deepdive'!$J$32+J22*'Scope and Scaling Factors'!$R$20+K22*'Scope and Scaling Factors'!$S$20+L22*'Scope and Scaling Factors'!$T$20+M22*'Scope and Scaling Factors'!$U$20+N22*'Scope and Scaling Factors'!$V$20+O22*'Scope and Scaling Factors'!$W$20+P22*'Scope and Scaling Factors'!$X$20</f>
        <v>18205</v>
      </c>
      <c r="G22" s="325">
        <f t="shared" si="2"/>
        <v>230</v>
      </c>
      <c r="H22" s="325">
        <v>5</v>
      </c>
      <c r="I22" s="325">
        <v>5</v>
      </c>
      <c r="J22" s="325">
        <v>25</v>
      </c>
      <c r="K22" s="325">
        <v>35</v>
      </c>
      <c r="L22" s="325">
        <v>40</v>
      </c>
      <c r="M22" s="325">
        <v>40</v>
      </c>
      <c r="N22" s="325"/>
      <c r="O22" s="325">
        <v>40</v>
      </c>
      <c r="P22" s="325">
        <v>40</v>
      </c>
      <c r="Q22" s="69"/>
      <c r="R22" s="6"/>
      <c r="S22" s="16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53"/>
      <c r="ET22" s="136"/>
    </row>
    <row r="23" spans="1:150" ht="15.65" customHeight="1" x14ac:dyDescent="0.35">
      <c r="A23" s="132"/>
      <c r="B23" s="172"/>
      <c r="C23" s="162"/>
      <c r="D23" s="169" t="s">
        <v>72</v>
      </c>
      <c r="E23" s="7"/>
      <c r="F23" s="170">
        <f>H23*'Scope and Scaling Factors'!$Q$20+I23*'Resource Plan - Target Deepdive'!$J$32+J23*'Scope and Scaling Factors'!$R$20+K23*'Scope and Scaling Factors'!$S$20+L23*'Scope and Scaling Factors'!$T$20+M23*'Scope and Scaling Factors'!$U$20+N23*'Scope and Scaling Factors'!$V$20+O23*'Scope and Scaling Factors'!$W$20+P23*'Scope and Scaling Factors'!$X$20</f>
        <v>13055</v>
      </c>
      <c r="G23" s="325">
        <f t="shared" si="2"/>
        <v>150</v>
      </c>
      <c r="H23" s="325">
        <v>5</v>
      </c>
      <c r="I23" s="325"/>
      <c r="J23" s="325">
        <v>20</v>
      </c>
      <c r="K23" s="325">
        <v>25</v>
      </c>
      <c r="L23" s="325">
        <v>25</v>
      </c>
      <c r="M23" s="325">
        <v>25</v>
      </c>
      <c r="N23" s="325"/>
      <c r="O23" s="325">
        <v>25</v>
      </c>
      <c r="P23" s="325">
        <v>25</v>
      </c>
      <c r="Q23" s="69"/>
      <c r="R23" s="6"/>
      <c r="S23" s="16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53"/>
      <c r="ET23" s="136"/>
    </row>
    <row r="24" spans="1:150" ht="15.65" customHeight="1" x14ac:dyDescent="0.35">
      <c r="A24" s="132"/>
      <c r="B24" s="172"/>
      <c r="C24" s="162"/>
      <c r="D24" s="173" t="s">
        <v>73</v>
      </c>
      <c r="E24" s="174"/>
      <c r="F24" s="175">
        <f>H24*'Scope and Scaling Factors'!$Q$20+I24*'Resource Plan - Target Deepdive'!$J$32+J24*'Scope and Scaling Factors'!$R$20+K24*'Scope and Scaling Factors'!$S$20+L24*'Scope and Scaling Factors'!$T$20+M24*'Scope and Scaling Factors'!$U$20+N24*'Scope and Scaling Factors'!$V$20+O24*'Scope and Scaling Factors'!$W$20+P24*'Scope and Scaling Factors'!$X$20</f>
        <v>18967</v>
      </c>
      <c r="G24" s="327">
        <f t="shared" si="2"/>
        <v>267</v>
      </c>
      <c r="H24" s="325">
        <v>5</v>
      </c>
      <c r="I24" s="325">
        <v>2</v>
      </c>
      <c r="J24" s="325">
        <v>20</v>
      </c>
      <c r="K24" s="325">
        <v>40</v>
      </c>
      <c r="L24" s="325">
        <v>50</v>
      </c>
      <c r="M24" s="325">
        <v>50</v>
      </c>
      <c r="N24" s="325"/>
      <c r="O24" s="325">
        <v>50</v>
      </c>
      <c r="P24" s="325">
        <v>50</v>
      </c>
      <c r="Q24" s="69"/>
      <c r="R24" s="6"/>
      <c r="S24" s="16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53"/>
      <c r="ET24" s="136"/>
    </row>
    <row r="25" spans="1:150" ht="15.65" customHeight="1" x14ac:dyDescent="0.35">
      <c r="A25" s="132"/>
      <c r="B25" s="119"/>
      <c r="C25" s="162"/>
      <c r="D25" s="177"/>
      <c r="E25" s="1"/>
      <c r="F25" s="179"/>
      <c r="G25" s="328"/>
      <c r="H25" s="333"/>
      <c r="I25" s="333"/>
      <c r="J25" s="333"/>
      <c r="K25" s="333"/>
      <c r="L25" s="333"/>
      <c r="M25" s="333"/>
      <c r="N25" s="333"/>
      <c r="O25" s="333"/>
      <c r="P25" s="329"/>
      <c r="Q25" s="69"/>
      <c r="R25" s="6"/>
      <c r="S25" s="16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53"/>
      <c r="ET25" s="136"/>
    </row>
    <row r="26" spans="1:150" ht="15.65" customHeight="1" x14ac:dyDescent="0.35">
      <c r="A26" s="132"/>
      <c r="B26" s="119"/>
      <c r="C26" s="162"/>
      <c r="D26" s="166" t="s">
        <v>74</v>
      </c>
      <c r="E26" s="167"/>
      <c r="F26" s="168">
        <f t="shared" ref="F26:P26" si="3">SUM(F27:F33)</f>
        <v>120438</v>
      </c>
      <c r="G26" s="323">
        <f t="shared" si="3"/>
        <v>1383</v>
      </c>
      <c r="H26" s="323">
        <f t="shared" si="3"/>
        <v>50</v>
      </c>
      <c r="I26" s="323">
        <f t="shared" si="3"/>
        <v>18</v>
      </c>
      <c r="J26" s="323">
        <f t="shared" si="3"/>
        <v>150</v>
      </c>
      <c r="K26" s="323">
        <f t="shared" si="3"/>
        <v>225</v>
      </c>
      <c r="L26" s="323">
        <f t="shared" si="3"/>
        <v>240</v>
      </c>
      <c r="M26" s="323">
        <f t="shared" si="3"/>
        <v>240</v>
      </c>
      <c r="N26" s="323">
        <f t="shared" si="3"/>
        <v>0</v>
      </c>
      <c r="O26" s="323">
        <f t="shared" si="3"/>
        <v>230</v>
      </c>
      <c r="P26" s="324">
        <f t="shared" si="3"/>
        <v>230</v>
      </c>
      <c r="Q26" s="69"/>
      <c r="R26" s="6"/>
      <c r="S26" s="16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53"/>
      <c r="ET26" s="136"/>
    </row>
    <row r="27" spans="1:150" ht="15.65" customHeight="1" x14ac:dyDescent="0.35">
      <c r="A27" s="132"/>
      <c r="B27" s="119"/>
      <c r="C27" s="162"/>
      <c r="D27" s="169" t="s">
        <v>75</v>
      </c>
      <c r="E27" s="7"/>
      <c r="F27" s="170">
        <f>H27*'Scope and Scaling Factors'!$Q$20+I27*'Resource Plan - Target Deepdive'!$J$32+J27*'Scope and Scaling Factors'!$R$20+K27*'Scope and Scaling Factors'!$S$20+L27*'Scope and Scaling Factors'!$T$20+M27*'Scope and Scaling Factors'!$U$20+N27*'Scope and Scaling Factors'!$V$20+O27*'Scope and Scaling Factors'!$W$20+P27*'Scope and Scaling Factors'!$X$20</f>
        <v>22170</v>
      </c>
      <c r="G27" s="325">
        <f>SUM(H27:P27)</f>
        <v>290</v>
      </c>
      <c r="H27" s="325">
        <v>5</v>
      </c>
      <c r="I27" s="325">
        <v>5</v>
      </c>
      <c r="J27" s="325">
        <v>30</v>
      </c>
      <c r="K27" s="325">
        <v>50</v>
      </c>
      <c r="L27" s="325">
        <v>50</v>
      </c>
      <c r="M27" s="325">
        <v>50</v>
      </c>
      <c r="N27" s="325"/>
      <c r="O27" s="325">
        <v>50</v>
      </c>
      <c r="P27" s="326">
        <v>50</v>
      </c>
      <c r="Q27" s="69"/>
      <c r="R27" s="6"/>
      <c r="S27" s="16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53"/>
      <c r="ET27" s="136"/>
    </row>
    <row r="28" spans="1:150" ht="15.65" customHeight="1" x14ac:dyDescent="0.35">
      <c r="A28" s="132"/>
      <c r="B28" s="119"/>
      <c r="C28" s="162"/>
      <c r="D28" s="169" t="s">
        <v>76</v>
      </c>
      <c r="E28" s="7"/>
      <c r="F28" s="170">
        <f>H28*'Scope and Scaling Factors'!$Q$20+I28*'Resource Plan - Target Deepdive'!$J$32+J28*'Scope and Scaling Factors'!$R$20+K28*'Scope and Scaling Factors'!$S$20+L28*'Scope and Scaling Factors'!$T$20+M28*'Scope and Scaling Factors'!$U$20+N28*'Scope and Scaling Factors'!$V$20+O28*'Scope and Scaling Factors'!$W$20+P28*'Scope and Scaling Factors'!$X$20</f>
        <v>22293</v>
      </c>
      <c r="G28" s="325">
        <f t="shared" ref="G28:G33" si="4">SUM(H28:P28)</f>
        <v>243</v>
      </c>
      <c r="H28" s="325">
        <v>10</v>
      </c>
      <c r="I28" s="325">
        <v>5</v>
      </c>
      <c r="J28" s="325">
        <v>28</v>
      </c>
      <c r="K28" s="325">
        <v>40</v>
      </c>
      <c r="L28" s="325">
        <v>40</v>
      </c>
      <c r="M28" s="325">
        <v>40</v>
      </c>
      <c r="N28" s="325"/>
      <c r="O28" s="325">
        <v>40</v>
      </c>
      <c r="P28" s="326">
        <v>40</v>
      </c>
      <c r="Q28" s="69"/>
      <c r="R28" s="6"/>
      <c r="S28" s="16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53"/>
      <c r="ET28" s="136"/>
    </row>
    <row r="29" spans="1:150" ht="15.65" customHeight="1" x14ac:dyDescent="0.35">
      <c r="A29" s="132"/>
      <c r="B29" s="119"/>
      <c r="C29" s="162"/>
      <c r="D29" s="169" t="s">
        <v>77</v>
      </c>
      <c r="E29" s="7"/>
      <c r="F29" s="170">
        <f>H29*'Scope and Scaling Factors'!$Q$20+I29*'Resource Plan - Target Deepdive'!$J$32+J29*'Scope and Scaling Factors'!$R$20+K29*'Scope and Scaling Factors'!$S$20+L29*'Scope and Scaling Factors'!$T$20+M29*'Scope and Scaling Factors'!$U$20+N29*'Scope and Scaling Factors'!$V$20+O29*'Scope and Scaling Factors'!$W$20+P29*'Scope and Scaling Factors'!$X$20</f>
        <v>17815</v>
      </c>
      <c r="G29" s="325">
        <f t="shared" si="4"/>
        <v>180</v>
      </c>
      <c r="H29" s="325">
        <v>10</v>
      </c>
      <c r="I29" s="325">
        <v>5</v>
      </c>
      <c r="J29" s="325">
        <v>20</v>
      </c>
      <c r="K29" s="325">
        <v>25</v>
      </c>
      <c r="L29" s="325">
        <v>30</v>
      </c>
      <c r="M29" s="325">
        <v>30</v>
      </c>
      <c r="N29" s="325"/>
      <c r="O29" s="325">
        <v>30</v>
      </c>
      <c r="P29" s="326">
        <v>30</v>
      </c>
      <c r="Q29" s="69"/>
      <c r="R29" s="6"/>
      <c r="S29" s="16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53"/>
      <c r="ET29" s="136"/>
    </row>
    <row r="30" spans="1:150" ht="15.65" customHeight="1" x14ac:dyDescent="0.35">
      <c r="A30" s="132"/>
      <c r="B30" s="119"/>
      <c r="C30" s="162"/>
      <c r="D30" s="169" t="s">
        <v>78</v>
      </c>
      <c r="E30" s="7"/>
      <c r="F30" s="170">
        <f>H30*'Scope and Scaling Factors'!$Q$20+I30*'Resource Plan - Target Deepdive'!$J$32+J30*'Scope and Scaling Factors'!$R$20+K30*'Scope and Scaling Factors'!$S$20+L30*'Scope and Scaling Factors'!$T$20+M30*'Scope and Scaling Factors'!$U$20+N30*'Scope and Scaling Factors'!$V$20+O30*'Scope and Scaling Factors'!$W$20+P30*'Scope and Scaling Factors'!$X$20</f>
        <v>14523</v>
      </c>
      <c r="G30" s="325">
        <f t="shared" si="4"/>
        <v>113</v>
      </c>
      <c r="H30" s="325">
        <v>10</v>
      </c>
      <c r="I30" s="325">
        <v>3</v>
      </c>
      <c r="J30" s="325">
        <v>20</v>
      </c>
      <c r="K30" s="325">
        <v>20</v>
      </c>
      <c r="L30" s="325">
        <v>15</v>
      </c>
      <c r="M30" s="325">
        <v>15</v>
      </c>
      <c r="N30" s="325"/>
      <c r="O30" s="325">
        <v>15</v>
      </c>
      <c r="P30" s="326">
        <v>15</v>
      </c>
      <c r="Q30" s="69"/>
      <c r="R30" s="6"/>
      <c r="S30" s="16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53"/>
      <c r="ET30" s="136"/>
    </row>
    <row r="31" spans="1:150" ht="15.65" customHeight="1" x14ac:dyDescent="0.35">
      <c r="A31" s="132"/>
      <c r="B31" s="119"/>
      <c r="C31" s="162"/>
      <c r="D31" s="169" t="s">
        <v>79</v>
      </c>
      <c r="E31" s="7"/>
      <c r="F31" s="170">
        <f>H31*'Scope and Scaling Factors'!$Q$20+I31*'Resource Plan - Target Deepdive'!$J$32+J31*'Scope and Scaling Factors'!$R$20+K31*'Scope and Scaling Factors'!$S$20+L31*'Scope and Scaling Factors'!$T$20+M31*'Scope and Scaling Factors'!$U$20+N31*'Scope and Scaling Factors'!$V$20+O31*'Scope and Scaling Factors'!$W$20+P31*'Scope and Scaling Factors'!$X$20</f>
        <v>13055</v>
      </c>
      <c r="G31" s="325">
        <f t="shared" si="4"/>
        <v>150</v>
      </c>
      <c r="H31" s="325">
        <v>5</v>
      </c>
      <c r="I31" s="325"/>
      <c r="J31" s="325">
        <v>20</v>
      </c>
      <c r="K31" s="325">
        <v>25</v>
      </c>
      <c r="L31" s="325">
        <v>25</v>
      </c>
      <c r="M31" s="325">
        <v>25</v>
      </c>
      <c r="N31" s="325"/>
      <c r="O31" s="325">
        <v>25</v>
      </c>
      <c r="P31" s="326">
        <v>25</v>
      </c>
      <c r="Q31" s="69"/>
      <c r="R31" s="6"/>
      <c r="S31" s="16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53"/>
      <c r="ET31" s="136"/>
    </row>
    <row r="32" spans="1:150" ht="15.65" customHeight="1" x14ac:dyDescent="0.35">
      <c r="A32" s="132"/>
      <c r="B32" s="119"/>
      <c r="C32" s="162"/>
      <c r="D32" s="169" t="s">
        <v>80</v>
      </c>
      <c r="E32" s="7"/>
      <c r="F32" s="170">
        <f>H32*'Scope and Scaling Factors'!$Q$20+I32*'Resource Plan - Target Deepdive'!$J$32+J32*'Scope and Scaling Factors'!$R$20+K32*'Scope and Scaling Factors'!$S$20+L32*'Scope and Scaling Factors'!$T$20+M32*'Scope and Scaling Factors'!$U$20+N32*'Scope and Scaling Factors'!$V$20+O32*'Scope and Scaling Factors'!$W$20+P32*'Scope and Scaling Factors'!$X$20</f>
        <v>11687</v>
      </c>
      <c r="G32" s="325">
        <f t="shared" si="4"/>
        <v>142</v>
      </c>
      <c r="H32" s="325">
        <v>5</v>
      </c>
      <c r="I32" s="325"/>
      <c r="J32" s="325">
        <v>12</v>
      </c>
      <c r="K32" s="325">
        <v>25</v>
      </c>
      <c r="L32" s="325">
        <v>25</v>
      </c>
      <c r="M32" s="325">
        <v>25</v>
      </c>
      <c r="N32" s="325"/>
      <c r="O32" s="325">
        <v>25</v>
      </c>
      <c r="P32" s="326">
        <v>25</v>
      </c>
      <c r="Q32" s="69"/>
      <c r="R32" s="6"/>
      <c r="S32" s="16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53"/>
      <c r="ET32" s="136"/>
    </row>
    <row r="33" spans="1:150" ht="15.65" customHeight="1" x14ac:dyDescent="0.35">
      <c r="A33" s="132"/>
      <c r="B33" s="119"/>
      <c r="C33" s="162"/>
      <c r="D33" s="173" t="s">
        <v>81</v>
      </c>
      <c r="E33" s="174"/>
      <c r="F33" s="175">
        <f>H33*'Scope and Scaling Factors'!$Q$20+I33*'Resource Plan - Target Deepdive'!$J$32+J33*'Scope and Scaling Factors'!$R$20+K33*'Scope and Scaling Factors'!$S$20+L33*'Scope and Scaling Factors'!$T$20+M33*'Scope and Scaling Factors'!$U$20+N33*'Scope and Scaling Factors'!$V$20+O33*'Scope and Scaling Factors'!$W$20+P33*'Scope and Scaling Factors'!$X$20</f>
        <v>18895</v>
      </c>
      <c r="G33" s="327">
        <f t="shared" si="4"/>
        <v>265</v>
      </c>
      <c r="H33" s="327">
        <v>5</v>
      </c>
      <c r="I33" s="327"/>
      <c r="J33" s="327">
        <v>20</v>
      </c>
      <c r="K33" s="327">
        <v>40</v>
      </c>
      <c r="L33" s="327">
        <v>55</v>
      </c>
      <c r="M33" s="327">
        <v>55</v>
      </c>
      <c r="N33" s="327"/>
      <c r="O33" s="327">
        <v>45</v>
      </c>
      <c r="P33" s="330">
        <v>45</v>
      </c>
      <c r="Q33" s="69"/>
      <c r="R33" s="6"/>
      <c r="S33" s="16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53"/>
      <c r="ET33" s="136"/>
    </row>
    <row r="34" spans="1:150" ht="15.65" customHeight="1" x14ac:dyDescent="0.35">
      <c r="A34" s="132"/>
      <c r="B34" s="119"/>
      <c r="C34" s="162"/>
      <c r="D34" s="1"/>
      <c r="E34" s="1"/>
      <c r="F34" s="178"/>
      <c r="G34" s="179"/>
      <c r="H34" s="179"/>
      <c r="I34" s="179"/>
      <c r="J34" s="179"/>
      <c r="K34" s="179"/>
      <c r="L34" s="179"/>
      <c r="M34" s="179"/>
      <c r="N34" s="179"/>
      <c r="O34" s="179"/>
      <c r="P34" s="179"/>
      <c r="Q34" s="69"/>
      <c r="R34" s="6"/>
      <c r="S34" s="16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53"/>
      <c r="ET34" s="136"/>
    </row>
    <row r="35" spans="1:150" ht="15.65" customHeight="1" x14ac:dyDescent="0.35">
      <c r="A35" s="132"/>
      <c r="B35" s="119"/>
      <c r="C35" s="162"/>
      <c r="D35" s="1"/>
      <c r="E35" s="1"/>
      <c r="F35" s="178"/>
      <c r="G35" s="179"/>
      <c r="H35" s="179"/>
      <c r="I35" s="179"/>
      <c r="J35" s="179"/>
      <c r="K35" s="179"/>
      <c r="L35" s="179"/>
      <c r="M35" s="179"/>
      <c r="N35" s="179"/>
      <c r="O35" s="179"/>
      <c r="P35" s="179"/>
      <c r="Q35" s="69"/>
      <c r="R35" s="6"/>
      <c r="S35" s="16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53"/>
      <c r="ET35" s="136"/>
    </row>
    <row r="36" spans="1:150" ht="15.65" customHeight="1" x14ac:dyDescent="0.35">
      <c r="A36" s="132"/>
      <c r="B36" s="119"/>
      <c r="C36" s="162"/>
      <c r="D36" s="180" t="s">
        <v>82</v>
      </c>
      <c r="E36" s="181"/>
      <c r="F36" s="182">
        <f>H36*'Scope and Scaling Factors'!$Q$20+I36*'Resource Plan - Target Deepdive'!$J$32+J36*'Scope and Scaling Factors'!$R$20+K36*'Scope and Scaling Factors'!$S$20+L36*'Scope and Scaling Factors'!$T$20+M36*'Scope and Scaling Factors'!$U$20+N36*'Scope and Scaling Factors'!$V$20+O36*'Scope and Scaling Factors'!$W$20+P36*'Scope and Scaling Factors'!$X$20</f>
        <v>6420</v>
      </c>
      <c r="G36" s="184">
        <f>SUM(H36:P36)</f>
        <v>65</v>
      </c>
      <c r="H36" s="184"/>
      <c r="I36" s="184"/>
      <c r="J36" s="184">
        <v>20</v>
      </c>
      <c r="K36" s="184">
        <v>25</v>
      </c>
      <c r="L36" s="184"/>
      <c r="M36" s="184"/>
      <c r="N36" s="184"/>
      <c r="O36" s="184">
        <v>10</v>
      </c>
      <c r="P36" s="183">
        <v>10</v>
      </c>
      <c r="Q36" s="69"/>
      <c r="R36" s="6"/>
      <c r="S36" s="16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53"/>
      <c r="ET36" s="136"/>
    </row>
    <row r="37" spans="1:150" ht="15.65" customHeight="1" x14ac:dyDescent="0.35">
      <c r="A37" s="132"/>
      <c r="B37" s="119"/>
      <c r="C37" s="162"/>
      <c r="D37" s="1"/>
      <c r="E37" s="1"/>
      <c r="F37" s="178"/>
      <c r="G37" s="1"/>
      <c r="H37" s="1"/>
      <c r="I37" s="1"/>
      <c r="J37" s="1"/>
      <c r="K37" s="1"/>
      <c r="L37" s="1"/>
      <c r="M37" s="1"/>
      <c r="N37" s="1"/>
      <c r="O37" s="1"/>
      <c r="P37" s="1"/>
      <c r="Q37" s="69"/>
      <c r="R37" s="6"/>
      <c r="S37" s="16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53"/>
      <c r="ET37" s="136"/>
    </row>
    <row r="38" spans="1:150" ht="15.65" customHeight="1" x14ac:dyDescent="0.35">
      <c r="A38" s="132"/>
      <c r="B38" s="119"/>
      <c r="C38" s="162"/>
      <c r="D38" s="1"/>
      <c r="E38" s="1"/>
      <c r="F38" s="178"/>
      <c r="G38" s="1"/>
      <c r="H38" s="1"/>
      <c r="I38" s="1"/>
      <c r="J38" s="1"/>
      <c r="K38" s="1"/>
      <c r="L38" s="1"/>
      <c r="M38" s="1"/>
      <c r="N38" s="1"/>
      <c r="O38" s="1"/>
      <c r="P38" s="1"/>
      <c r="Q38" s="69"/>
      <c r="R38" s="6"/>
      <c r="S38" s="16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53"/>
      <c r="ET38" s="136"/>
    </row>
    <row r="39" spans="1:150" ht="15.65" customHeight="1" x14ac:dyDescent="0.35">
      <c r="A39" s="132"/>
      <c r="B39" s="119"/>
      <c r="C39" s="162"/>
      <c r="D39" s="185" t="s">
        <v>83</v>
      </c>
      <c r="E39" s="1"/>
      <c r="F39" s="186">
        <f t="shared" ref="F39:P39" si="5">F17+F26+F36</f>
        <v>241160</v>
      </c>
      <c r="G39" s="322">
        <f t="shared" si="5"/>
        <v>2710</v>
      </c>
      <c r="H39" s="322">
        <f t="shared" si="5"/>
        <v>100</v>
      </c>
      <c r="I39" s="322">
        <f t="shared" si="5"/>
        <v>40</v>
      </c>
      <c r="J39" s="322">
        <f t="shared" si="5"/>
        <v>320</v>
      </c>
      <c r="K39" s="322">
        <f t="shared" si="5"/>
        <v>450</v>
      </c>
      <c r="L39" s="322">
        <f t="shared" si="5"/>
        <v>450</v>
      </c>
      <c r="M39" s="322">
        <f t="shared" si="5"/>
        <v>450</v>
      </c>
      <c r="N39" s="322">
        <f t="shared" si="5"/>
        <v>0</v>
      </c>
      <c r="O39" s="322">
        <f t="shared" si="5"/>
        <v>450</v>
      </c>
      <c r="P39" s="322">
        <f t="shared" si="5"/>
        <v>450</v>
      </c>
      <c r="Q39" s="69"/>
      <c r="R39" s="6"/>
      <c r="S39" s="16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53"/>
      <c r="ET39" s="136"/>
    </row>
    <row r="40" spans="1:150" ht="15.65" customHeight="1" x14ac:dyDescent="0.35">
      <c r="A40" s="132"/>
      <c r="B40" s="119"/>
      <c r="C40" s="162"/>
      <c r="D40" s="1"/>
      <c r="E40" s="1"/>
      <c r="F40" s="187"/>
      <c r="G40" s="1"/>
      <c r="H40" s="1"/>
      <c r="I40" s="188"/>
      <c r="J40" s="188"/>
      <c r="K40" s="188"/>
      <c r="L40" s="188"/>
      <c r="M40" s="188"/>
      <c r="N40" s="188"/>
      <c r="O40" s="188"/>
      <c r="P40" s="188"/>
      <c r="Q40" s="69"/>
      <c r="R40" s="6"/>
      <c r="S40" s="16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53"/>
      <c r="ET40" s="136"/>
    </row>
    <row r="41" spans="1:150" ht="15.65" customHeight="1" x14ac:dyDescent="0.35">
      <c r="A41" s="132"/>
      <c r="B41" s="119"/>
      <c r="C41" s="162"/>
      <c r="D41" s="185"/>
      <c r="E41" s="1"/>
      <c r="F41" s="1"/>
      <c r="G41" s="1"/>
      <c r="H41" s="1"/>
      <c r="I41" s="1"/>
      <c r="J41" s="1"/>
      <c r="K41" s="1"/>
      <c r="L41" s="1"/>
      <c r="M41" s="1"/>
      <c r="N41" s="1"/>
      <c r="O41" s="1"/>
      <c r="P41" s="189"/>
      <c r="Q41" s="69"/>
      <c r="R41" s="6"/>
      <c r="S41" s="16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53"/>
      <c r="ET41" s="136"/>
    </row>
    <row r="42" spans="1:150" ht="15.65" customHeight="1" x14ac:dyDescent="0.35">
      <c r="A42" s="132"/>
      <c r="B42" s="119"/>
      <c r="C42" s="162"/>
      <c r="D42" s="1"/>
      <c r="E42" s="1"/>
      <c r="F42" s="1"/>
      <c r="G42" s="1"/>
      <c r="H42" s="1"/>
      <c r="I42" s="1"/>
      <c r="J42" s="1"/>
      <c r="K42" s="1"/>
      <c r="L42" s="1"/>
      <c r="M42" s="1"/>
      <c r="N42" s="1"/>
      <c r="O42" s="1"/>
      <c r="P42" s="1"/>
      <c r="Q42" s="69"/>
      <c r="R42" s="6"/>
      <c r="S42" s="16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53"/>
      <c r="ET42" s="136"/>
    </row>
    <row r="43" spans="1:150" ht="15.65" customHeight="1" x14ac:dyDescent="0.35">
      <c r="A43" s="132"/>
      <c r="B43" s="119"/>
      <c r="C43" s="190"/>
      <c r="D43" s="191"/>
      <c r="E43" s="191"/>
      <c r="F43" s="191"/>
      <c r="G43" s="191"/>
      <c r="H43" s="191"/>
      <c r="I43" s="191"/>
      <c r="J43" s="191"/>
      <c r="K43" s="191"/>
      <c r="L43" s="191"/>
      <c r="M43" s="191"/>
      <c r="N43" s="191"/>
      <c r="O43" s="191"/>
      <c r="P43" s="191"/>
      <c r="Q43" s="192"/>
      <c r="R43" s="6"/>
      <c r="S43" s="16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53"/>
      <c r="ET43" s="136"/>
    </row>
    <row r="44" spans="1:150" ht="15.65" customHeight="1" thickBot="1" x14ac:dyDescent="0.4">
      <c r="A44" s="132"/>
      <c r="B44" s="122"/>
      <c r="C44" s="193"/>
      <c r="D44" s="123"/>
      <c r="E44" s="123"/>
      <c r="F44" s="123"/>
      <c r="G44" s="123"/>
      <c r="H44" s="123"/>
      <c r="I44" s="123"/>
      <c r="J44" s="123"/>
      <c r="K44" s="123"/>
      <c r="L44" s="123"/>
      <c r="M44" s="123"/>
      <c r="N44" s="123"/>
      <c r="O44" s="123"/>
      <c r="P44" s="123"/>
      <c r="Q44" s="194"/>
      <c r="R44" s="15"/>
      <c r="S44" s="16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26"/>
      <c r="ET44" s="136"/>
    </row>
    <row r="45" spans="1:150" ht="15.65" customHeight="1" x14ac:dyDescent="0.3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195"/>
      <c r="AT45" s="195"/>
      <c r="AU45" s="195"/>
      <c r="AV45" s="195"/>
      <c r="AW45" s="195"/>
      <c r="AX45" s="195"/>
      <c r="AY45" s="195"/>
      <c r="AZ45" s="195"/>
      <c r="BA45" s="195"/>
      <c r="BB45" s="195"/>
      <c r="BC45" s="195"/>
      <c r="BD45" s="195"/>
      <c r="BE45" s="195"/>
      <c r="BF45" s="195"/>
      <c r="BG45" s="195"/>
      <c r="BH45" s="195"/>
      <c r="BI45" s="195"/>
      <c r="BJ45" s="195"/>
      <c r="BK45" s="195"/>
      <c r="BL45" s="195"/>
      <c r="BM45" s="195"/>
      <c r="BN45" s="195"/>
      <c r="BO45" s="195"/>
      <c r="BP45" s="195"/>
      <c r="BQ45" s="195"/>
      <c r="BR45" s="195"/>
      <c r="BS45" s="195"/>
      <c r="BT45" s="195"/>
      <c r="BU45" s="195"/>
      <c r="BV45" s="195"/>
      <c r="BW45" s="195"/>
      <c r="BX45" s="195"/>
      <c r="BY45" s="195"/>
      <c r="BZ45" s="195"/>
      <c r="CA45" s="195"/>
      <c r="CB45" s="195"/>
      <c r="CC45" s="195"/>
      <c r="CD45" s="195"/>
      <c r="CE45" s="195"/>
      <c r="CF45" s="195"/>
      <c r="CG45" s="195"/>
      <c r="CH45" s="195"/>
      <c r="CI45" s="195"/>
      <c r="CJ45" s="195"/>
      <c r="CK45" s="195"/>
      <c r="CL45" s="195"/>
      <c r="CM45" s="195"/>
      <c r="CN45" s="195"/>
      <c r="CO45" s="195"/>
      <c r="CP45" s="195"/>
      <c r="CQ45" s="195"/>
      <c r="CR45" s="195"/>
      <c r="CS45" s="195"/>
      <c r="CT45" s="195"/>
      <c r="CU45" s="195"/>
      <c r="CV45" s="195"/>
      <c r="CW45" s="195"/>
      <c r="CX45" s="195"/>
      <c r="CY45" s="195"/>
      <c r="CZ45" s="195"/>
      <c r="DA45" s="195"/>
      <c r="DB45" s="195"/>
      <c r="DC45" s="195"/>
      <c r="DD45" s="195"/>
      <c r="DE45" s="195"/>
      <c r="DF45" s="195"/>
      <c r="DG45" s="195"/>
      <c r="DH45" s="195"/>
      <c r="DI45" s="195"/>
      <c r="DJ45" s="195"/>
      <c r="DK45" s="195"/>
      <c r="DL45" s="195"/>
      <c r="DM45" s="195"/>
      <c r="DN45" s="195"/>
      <c r="DO45" s="195"/>
      <c r="DP45" s="195"/>
      <c r="DQ45" s="195"/>
      <c r="DR45" s="195"/>
      <c r="DS45" s="195"/>
      <c r="DT45" s="195"/>
      <c r="DU45" s="195"/>
      <c r="DV45" s="195"/>
      <c r="DW45" s="195"/>
      <c r="DX45" s="195"/>
      <c r="DY45" s="195"/>
      <c r="DZ45" s="195"/>
      <c r="EA45" s="195"/>
      <c r="EB45" s="195"/>
      <c r="EC45" s="195"/>
      <c r="ED45" s="195"/>
      <c r="EE45" s="195"/>
      <c r="EF45" s="195"/>
      <c r="EG45" s="195"/>
      <c r="EH45" s="195"/>
      <c r="EI45" s="195"/>
      <c r="EJ45" s="195"/>
      <c r="EK45" s="195"/>
      <c r="EL45" s="195"/>
      <c r="EM45" s="195"/>
      <c r="EN45" s="195"/>
      <c r="EO45" s="195"/>
      <c r="EP45" s="195"/>
      <c r="EQ45" s="195"/>
      <c r="ER45" s="195"/>
      <c r="ES45" s="195"/>
    </row>
  </sheetData>
  <sheetProtection formatColumns="0" formatRows="0"/>
  <mergeCells count="4">
    <mergeCell ref="C8:D9"/>
    <mergeCell ref="D14:E15"/>
    <mergeCell ref="F14:G14"/>
    <mergeCell ref="H14:P14"/>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ommandButton1">
          <controlPr defaultSize="0" autoLine="0" autoPict="0" r:id="rId5">
            <anchor>
              <from>
                <xdr:col>5</xdr:col>
                <xdr:colOff>546100</xdr:colOff>
                <xdr:row>8</xdr:row>
                <xdr:rowOff>25400</xdr:rowOff>
              </from>
              <to>
                <xdr:col>6</xdr:col>
                <xdr:colOff>730250</xdr:colOff>
                <xdr:row>10</xdr:row>
                <xdr:rowOff>0</xdr:rowOff>
              </to>
            </anchor>
          </controlPr>
        </control>
      </mc:Choice>
      <mc:Fallback>
        <control shapeId="7169"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ABA1-6020-4C46-B747-F7F85129A735}">
  <sheetPr codeName="Sheet15">
    <pageSetUpPr autoPageBreaks="0"/>
  </sheetPr>
  <dimension ref="A1:ET45"/>
  <sheetViews>
    <sheetView topLeftCell="A9" zoomScale="70" zoomScaleNormal="70" workbookViewId="0">
      <pane xSplit="5" topLeftCell="F1" activePane="topRight" state="frozen"/>
      <selection activeCell="M15" sqref="M15"/>
      <selection pane="topRight" activeCell="K28" sqref="K28"/>
    </sheetView>
  </sheetViews>
  <sheetFormatPr defaultColWidth="8.81640625" defaultRowHeight="15.65" customHeight="1" x14ac:dyDescent="0.35"/>
  <cols>
    <col min="1" max="1" width="1.453125" style="130" customWidth="1"/>
    <col min="2" max="3" width="2.453125" style="130" customWidth="1"/>
    <col min="4" max="4" width="62.81640625" style="130" customWidth="1"/>
    <col min="5" max="5" width="9.1796875" style="130" customWidth="1"/>
    <col min="6" max="6" width="12.1796875" style="130" customWidth="1"/>
    <col min="7" max="7" width="11.453125" style="130" customWidth="1"/>
    <col min="8" max="8" width="8.81640625" style="130" customWidth="1"/>
    <col min="9" max="9" width="11.54296875" style="130" customWidth="1"/>
    <col min="10" max="10" width="10.54296875" style="130" customWidth="1"/>
    <col min="11" max="17" width="8.81640625" style="130" customWidth="1"/>
    <col min="18" max="147" width="8.81640625" style="130" hidden="1" customWidth="1"/>
    <col min="148" max="148" width="2.453125" style="130" hidden="1" customWidth="1"/>
    <col min="149" max="149" width="2.453125" style="130" customWidth="1"/>
    <col min="150" max="16384" width="8.81640625" style="130"/>
  </cols>
  <sheetData>
    <row r="1" spans="1:150" ht="15.65" customHeight="1" thickBot="1" x14ac:dyDescent="0.4">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c r="BJ1" s="131"/>
      <c r="BK1" s="131"/>
      <c r="BL1" s="131"/>
      <c r="BM1" s="131"/>
      <c r="BN1" s="131"/>
      <c r="BO1" s="131"/>
      <c r="BP1" s="131"/>
      <c r="BQ1" s="131"/>
      <c r="BR1" s="131"/>
      <c r="BS1" s="131"/>
      <c r="BT1" s="131"/>
      <c r="BU1" s="131"/>
      <c r="BV1" s="131"/>
      <c r="BW1" s="131"/>
      <c r="BX1" s="131"/>
      <c r="BY1" s="131"/>
      <c r="BZ1" s="131"/>
      <c r="CA1" s="131"/>
      <c r="CB1" s="131"/>
      <c r="CC1" s="131"/>
      <c r="CD1" s="131"/>
      <c r="CE1" s="131"/>
      <c r="CF1" s="131"/>
      <c r="CG1" s="131"/>
      <c r="CH1" s="131"/>
      <c r="CI1" s="131"/>
      <c r="CJ1" s="131"/>
      <c r="CK1" s="131"/>
      <c r="CL1" s="131"/>
      <c r="CM1" s="131"/>
      <c r="CN1" s="131"/>
      <c r="CO1" s="131"/>
      <c r="CP1" s="131"/>
      <c r="CQ1" s="131"/>
      <c r="CR1" s="131"/>
      <c r="CS1" s="131"/>
      <c r="CT1" s="131"/>
      <c r="CU1" s="131"/>
      <c r="CV1" s="131"/>
      <c r="CW1" s="131"/>
      <c r="CX1" s="131"/>
      <c r="CY1" s="131"/>
      <c r="CZ1" s="131"/>
      <c r="DA1" s="131"/>
      <c r="DB1" s="131"/>
      <c r="DC1" s="131"/>
      <c r="DD1" s="131"/>
      <c r="DE1" s="131"/>
      <c r="DF1" s="131"/>
      <c r="DG1" s="131"/>
      <c r="DH1" s="131"/>
      <c r="DI1" s="131"/>
      <c r="DJ1" s="131"/>
      <c r="DK1" s="131"/>
      <c r="DL1" s="131"/>
      <c r="DM1" s="131"/>
      <c r="DN1" s="131"/>
      <c r="DO1" s="131"/>
      <c r="DP1" s="131"/>
      <c r="DQ1" s="131"/>
      <c r="DR1" s="131"/>
      <c r="DS1" s="131"/>
      <c r="DT1" s="131"/>
      <c r="DU1" s="131"/>
      <c r="DV1" s="131"/>
      <c r="DW1" s="131"/>
      <c r="DX1" s="131"/>
      <c r="DY1" s="131"/>
      <c r="DZ1" s="131"/>
      <c r="EA1" s="131"/>
      <c r="EB1" s="131"/>
      <c r="EC1" s="131"/>
      <c r="ED1" s="131"/>
      <c r="EE1" s="131"/>
      <c r="EF1" s="131"/>
      <c r="EG1" s="131"/>
      <c r="EH1" s="131"/>
      <c r="EI1" s="131"/>
      <c r="EJ1" s="131"/>
      <c r="EK1" s="131"/>
      <c r="EL1" s="131"/>
      <c r="EM1" s="131"/>
      <c r="EN1" s="131"/>
      <c r="EO1" s="131"/>
      <c r="EP1" s="131"/>
      <c r="EQ1" s="131"/>
      <c r="ER1" s="131"/>
      <c r="ES1" s="131"/>
    </row>
    <row r="2" spans="1:150" ht="15.65" customHeight="1" thickBot="1" x14ac:dyDescent="0.4">
      <c r="A2" s="132"/>
      <c r="B2" s="133"/>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5"/>
      <c r="ET2" s="136"/>
    </row>
    <row r="3" spans="1:150" ht="15.65" customHeight="1" thickBot="1" x14ac:dyDescent="0.4">
      <c r="A3" s="132"/>
      <c r="B3" s="137"/>
      <c r="C3" s="138" t="s">
        <v>2</v>
      </c>
      <c r="D3" s="44"/>
      <c r="E3" s="44"/>
      <c r="F3" s="44"/>
      <c r="G3" s="44"/>
      <c r="H3" s="44"/>
      <c r="I3" s="44"/>
      <c r="J3" s="44"/>
      <c r="K3" s="44"/>
      <c r="L3" s="44"/>
      <c r="M3" s="44"/>
      <c r="N3" s="44"/>
      <c r="O3" s="44"/>
      <c r="P3" s="44"/>
      <c r="Q3" s="49"/>
      <c r="R3" s="43"/>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9"/>
      <c r="ES3" s="139"/>
      <c r="ET3" s="136"/>
    </row>
    <row r="4" spans="1:150" ht="15.65" customHeight="1" thickBot="1" x14ac:dyDescent="0.4">
      <c r="A4" s="132"/>
      <c r="B4" s="137"/>
      <c r="C4" s="140" t="s">
        <v>53</v>
      </c>
      <c r="D4" s="52"/>
      <c r="E4" s="52"/>
      <c r="F4" s="52"/>
      <c r="G4" s="52"/>
      <c r="H4" s="52"/>
      <c r="I4" s="52"/>
      <c r="J4" s="52"/>
      <c r="K4" s="52"/>
      <c r="L4" s="52"/>
      <c r="M4" s="52"/>
      <c r="N4" s="52"/>
      <c r="O4" s="52"/>
      <c r="P4" s="52"/>
      <c r="Q4" s="56"/>
      <c r="R4" s="51"/>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c r="CR4" s="52"/>
      <c r="CS4" s="52"/>
      <c r="CT4" s="52"/>
      <c r="CU4" s="52"/>
      <c r="CV4" s="52"/>
      <c r="CW4" s="52"/>
      <c r="CX4" s="52"/>
      <c r="CY4" s="52"/>
      <c r="CZ4" s="52"/>
      <c r="DA4" s="52"/>
      <c r="DB4" s="52"/>
      <c r="DC4" s="52"/>
      <c r="DD4" s="52"/>
      <c r="DE4" s="52"/>
      <c r="DF4" s="52"/>
      <c r="DG4" s="52"/>
      <c r="DH4" s="52"/>
      <c r="DI4" s="52"/>
      <c r="DJ4" s="52"/>
      <c r="DK4" s="52"/>
      <c r="DL4" s="52"/>
      <c r="DM4" s="52"/>
      <c r="DN4" s="52"/>
      <c r="DO4" s="52"/>
      <c r="DP4" s="52"/>
      <c r="DQ4" s="52"/>
      <c r="DR4" s="52"/>
      <c r="DS4" s="52"/>
      <c r="DT4" s="52"/>
      <c r="DU4" s="52"/>
      <c r="DV4" s="52"/>
      <c r="DW4" s="52"/>
      <c r="DX4" s="52"/>
      <c r="DY4" s="52"/>
      <c r="DZ4" s="52"/>
      <c r="EA4" s="52"/>
      <c r="EB4" s="52"/>
      <c r="EC4" s="52"/>
      <c r="ED4" s="52"/>
      <c r="EE4" s="52"/>
      <c r="EF4" s="52"/>
      <c r="EG4" s="52"/>
      <c r="EH4" s="52"/>
      <c r="EI4" s="52"/>
      <c r="EJ4" s="52"/>
      <c r="EK4" s="52"/>
      <c r="EL4" s="52"/>
      <c r="EM4" s="52"/>
      <c r="EN4" s="52"/>
      <c r="EO4" s="52"/>
      <c r="EP4" s="52"/>
      <c r="EQ4" s="52"/>
      <c r="ER4" s="56"/>
      <c r="ES4" s="139"/>
      <c r="ET4" s="136"/>
    </row>
    <row r="5" spans="1:150" ht="15.65" customHeight="1" thickBot="1" x14ac:dyDescent="0.4">
      <c r="A5" s="132"/>
      <c r="B5" s="141"/>
      <c r="C5" s="142" t="s">
        <v>54</v>
      </c>
      <c r="D5" s="16"/>
      <c r="E5" s="16"/>
      <c r="F5" s="16"/>
      <c r="G5" s="16"/>
      <c r="H5" s="16"/>
      <c r="I5" s="16"/>
      <c r="J5" s="16"/>
      <c r="K5" s="16"/>
      <c r="L5" s="16"/>
      <c r="M5" s="16"/>
      <c r="N5" s="16"/>
      <c r="O5" s="16"/>
      <c r="P5" s="16"/>
      <c r="Q5" s="67"/>
      <c r="R5" s="24"/>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c r="EK5" s="16"/>
      <c r="EL5" s="16"/>
      <c r="EM5" s="16"/>
      <c r="EN5" s="16"/>
      <c r="EO5" s="16"/>
      <c r="EP5" s="16"/>
      <c r="EQ5" s="16"/>
      <c r="ER5" s="67"/>
      <c r="ES5" s="143"/>
      <c r="ET5" s="136"/>
    </row>
    <row r="6" spans="1:150" ht="15.65" customHeight="1" thickBot="1" x14ac:dyDescent="0.4">
      <c r="A6" s="132"/>
      <c r="B6" s="144"/>
      <c r="C6" s="145" t="s">
        <v>55</v>
      </c>
      <c r="D6" s="17"/>
      <c r="E6" s="17"/>
      <c r="F6" s="17"/>
      <c r="G6" s="17"/>
      <c r="H6" s="17"/>
      <c r="I6" s="17"/>
      <c r="J6" s="17"/>
      <c r="K6" s="17"/>
      <c r="L6" s="17"/>
      <c r="M6" s="17"/>
      <c r="N6" s="17"/>
      <c r="O6" s="17"/>
      <c r="P6" s="17"/>
      <c r="Q6" s="146"/>
      <c r="R6" s="65"/>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46"/>
      <c r="ES6" s="147"/>
      <c r="ET6" s="136"/>
    </row>
    <row r="7" spans="1:150" ht="15.65" customHeight="1" x14ac:dyDescent="0.35">
      <c r="A7" s="132"/>
      <c r="B7" s="148"/>
      <c r="C7" s="414"/>
      <c r="D7" s="415"/>
      <c r="E7" s="415"/>
      <c r="F7" s="415"/>
      <c r="G7" s="415"/>
      <c r="H7" s="415"/>
      <c r="I7" s="415"/>
      <c r="J7" s="415"/>
      <c r="K7" s="415"/>
      <c r="L7" s="415"/>
      <c r="M7" s="415"/>
      <c r="N7" s="415"/>
      <c r="O7" s="415"/>
      <c r="P7" s="415"/>
      <c r="Q7" s="416"/>
      <c r="R7" s="319"/>
      <c r="S7" s="150"/>
      <c r="T7" s="150"/>
      <c r="U7" s="150"/>
      <c r="V7" s="150"/>
      <c r="W7" s="150"/>
      <c r="X7" s="150"/>
      <c r="Y7" s="150"/>
      <c r="Z7" s="150"/>
      <c r="AA7" s="150"/>
      <c r="AB7" s="150"/>
      <c r="AC7" s="150"/>
      <c r="AD7" s="150"/>
      <c r="AE7" s="150"/>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DF7" s="150"/>
      <c r="DG7" s="150"/>
      <c r="DH7" s="150"/>
      <c r="DI7" s="150"/>
      <c r="DJ7" s="150"/>
      <c r="DK7" s="150"/>
      <c r="DL7" s="150"/>
      <c r="DM7" s="150"/>
      <c r="DN7" s="150"/>
      <c r="DO7" s="150"/>
      <c r="DP7" s="150"/>
      <c r="DQ7" s="150"/>
      <c r="DR7" s="150"/>
      <c r="DS7" s="150"/>
      <c r="DT7" s="150"/>
      <c r="DU7" s="150"/>
      <c r="DV7" s="150"/>
      <c r="DW7" s="150"/>
      <c r="DX7" s="150"/>
      <c r="DY7" s="150"/>
      <c r="DZ7" s="150"/>
      <c r="EA7" s="150"/>
      <c r="EB7" s="150"/>
      <c r="EC7" s="150"/>
      <c r="ED7" s="150"/>
      <c r="EE7" s="150"/>
      <c r="EF7" s="150"/>
      <c r="EG7" s="150"/>
      <c r="EH7" s="150"/>
      <c r="EI7" s="150"/>
      <c r="EJ7" s="150"/>
      <c r="EK7" s="150"/>
      <c r="EL7" s="150"/>
      <c r="EM7" s="150"/>
      <c r="EN7" s="150"/>
      <c r="EO7" s="150"/>
      <c r="EP7" s="150"/>
      <c r="EQ7" s="150"/>
      <c r="ER7" s="118"/>
      <c r="ES7" s="147"/>
      <c r="ET7" s="136"/>
    </row>
    <row r="8" spans="1:150" ht="15.65" customHeight="1" x14ac:dyDescent="0.35">
      <c r="A8" s="132"/>
      <c r="B8" s="151"/>
      <c r="C8" s="412" t="s">
        <v>56</v>
      </c>
      <c r="D8" s="413"/>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2"/>
      <c r="CO8" s="152"/>
      <c r="CP8" s="152"/>
      <c r="CQ8" s="152"/>
      <c r="CR8" s="152"/>
      <c r="CS8" s="152"/>
      <c r="CT8" s="152"/>
      <c r="CU8" s="152"/>
      <c r="CV8" s="152"/>
      <c r="CW8" s="152"/>
      <c r="CX8" s="152"/>
      <c r="CY8" s="152"/>
      <c r="CZ8" s="152"/>
      <c r="DA8" s="152"/>
      <c r="DB8" s="152"/>
      <c r="DC8" s="152"/>
      <c r="DD8" s="152"/>
      <c r="DE8" s="152"/>
      <c r="DF8" s="152"/>
      <c r="DG8" s="152"/>
      <c r="DH8" s="152"/>
      <c r="DI8" s="152"/>
      <c r="DJ8" s="152"/>
      <c r="DK8" s="152"/>
      <c r="DL8" s="152"/>
      <c r="DM8" s="152"/>
      <c r="DN8" s="152"/>
      <c r="DO8" s="152"/>
      <c r="DP8" s="152"/>
      <c r="DQ8" s="152"/>
      <c r="DR8" s="152"/>
      <c r="DS8" s="152"/>
      <c r="DT8" s="152"/>
      <c r="DU8" s="152"/>
      <c r="DV8" s="152"/>
      <c r="DW8" s="152"/>
      <c r="DX8" s="152"/>
      <c r="DY8" s="152"/>
      <c r="DZ8" s="152"/>
      <c r="EA8" s="152"/>
      <c r="EB8" s="152"/>
      <c r="EC8" s="152"/>
      <c r="ED8" s="152"/>
      <c r="EE8" s="152"/>
      <c r="EF8" s="152"/>
      <c r="EG8" s="152"/>
      <c r="EH8" s="152"/>
      <c r="EI8" s="152"/>
      <c r="EJ8" s="152"/>
      <c r="EK8" s="152"/>
      <c r="EL8" s="152"/>
      <c r="EM8" s="152"/>
      <c r="EN8" s="152"/>
      <c r="EO8" s="152"/>
      <c r="EP8" s="152"/>
      <c r="EQ8" s="152"/>
      <c r="ER8" s="152"/>
      <c r="ES8" s="153"/>
      <c r="ET8" s="136"/>
    </row>
    <row r="9" spans="1:150" ht="15.65" customHeight="1" x14ac:dyDescent="0.35">
      <c r="A9" s="132"/>
      <c r="B9" s="151"/>
      <c r="C9" s="405"/>
      <c r="D9" s="406"/>
      <c r="E9" s="154"/>
      <c r="F9" s="154"/>
      <c r="G9" s="155"/>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6"/>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3"/>
      <c r="ET9" s="136"/>
    </row>
    <row r="10" spans="1:150" ht="15.65" customHeight="1" thickBot="1" x14ac:dyDescent="0.4">
      <c r="A10" s="132"/>
      <c r="B10" s="25"/>
      <c r="C10" s="15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158"/>
      <c r="EN10" s="27"/>
      <c r="EO10" s="27"/>
      <c r="EP10" s="27"/>
      <c r="EQ10" s="27"/>
      <c r="ER10" s="27"/>
      <c r="ES10" s="153"/>
      <c r="ET10" s="136"/>
    </row>
    <row r="11" spans="1:150" ht="15.65" customHeight="1" x14ac:dyDescent="0.35">
      <c r="A11" s="132"/>
      <c r="B11" s="119"/>
      <c r="C11" s="7"/>
      <c r="D11" s="7"/>
      <c r="E11" s="7"/>
      <c r="F11" s="7"/>
      <c r="G11" s="7"/>
      <c r="H11" s="7"/>
      <c r="I11" s="7"/>
      <c r="J11" s="7"/>
      <c r="K11" s="7"/>
      <c r="L11" s="7"/>
      <c r="M11" s="7"/>
      <c r="N11" s="7"/>
      <c r="O11" s="7"/>
      <c r="P11" s="7"/>
      <c r="Q11" s="7"/>
      <c r="R11" s="4"/>
      <c r="S11" s="159"/>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c r="BS11" s="160"/>
      <c r="BT11" s="160"/>
      <c r="BU11" s="160"/>
      <c r="BV11" s="160"/>
      <c r="BW11" s="160"/>
      <c r="BX11" s="160"/>
      <c r="BY11" s="160"/>
      <c r="BZ11" s="160"/>
      <c r="CA11" s="160"/>
      <c r="CB11" s="160"/>
      <c r="CC11" s="160"/>
      <c r="CD11" s="160"/>
      <c r="CE11" s="160"/>
      <c r="CF11" s="160"/>
      <c r="CG11" s="160"/>
      <c r="CH11" s="160"/>
      <c r="CI11" s="160"/>
      <c r="CJ11" s="160"/>
      <c r="CK11" s="160"/>
      <c r="CL11" s="160"/>
      <c r="CM11" s="160"/>
      <c r="CN11" s="160"/>
      <c r="CO11" s="160"/>
      <c r="CP11" s="160"/>
      <c r="CQ11" s="160"/>
      <c r="CR11" s="160"/>
      <c r="CS11" s="160"/>
      <c r="CT11" s="160"/>
      <c r="CU11" s="160"/>
      <c r="CV11" s="160"/>
      <c r="CW11" s="160"/>
      <c r="CX11" s="160"/>
      <c r="CY11" s="160"/>
      <c r="CZ11" s="160"/>
      <c r="DA11" s="160"/>
      <c r="DB11" s="160"/>
      <c r="DC11" s="160"/>
      <c r="DD11" s="160"/>
      <c r="DE11" s="160"/>
      <c r="DF11" s="160"/>
      <c r="DG11" s="160"/>
      <c r="DH11" s="160"/>
      <c r="DI11" s="160"/>
      <c r="DJ11" s="160"/>
      <c r="DK11" s="160"/>
      <c r="DL11" s="160"/>
      <c r="DM11" s="160"/>
      <c r="DN11" s="160"/>
      <c r="DO11" s="160"/>
      <c r="DP11" s="160"/>
      <c r="DQ11" s="160"/>
      <c r="DR11" s="160"/>
      <c r="DS11" s="160"/>
      <c r="DT11" s="160"/>
      <c r="DU11" s="160"/>
      <c r="DV11" s="160"/>
      <c r="DW11" s="160"/>
      <c r="DX11" s="160"/>
      <c r="DY11" s="160"/>
      <c r="DZ11" s="160"/>
      <c r="EA11" s="160"/>
      <c r="EB11" s="160"/>
      <c r="EC11" s="160"/>
      <c r="ED11" s="160"/>
      <c r="EE11" s="160"/>
      <c r="EF11" s="160"/>
      <c r="EG11" s="160"/>
      <c r="EH11" s="160"/>
      <c r="EI11" s="160"/>
      <c r="EJ11" s="160"/>
      <c r="EK11" s="160"/>
      <c r="EL11" s="160"/>
      <c r="EM11" s="160"/>
      <c r="EN11" s="160"/>
      <c r="EO11" s="160"/>
      <c r="EP11" s="160"/>
      <c r="EQ11" s="160"/>
      <c r="ER11" s="160"/>
      <c r="ES11" s="153"/>
      <c r="ET11" s="136"/>
    </row>
    <row r="12" spans="1:150" ht="15.65" customHeight="1" x14ac:dyDescent="0.35">
      <c r="A12" s="132"/>
      <c r="B12" s="119"/>
      <c r="C12" s="138" t="s">
        <v>57</v>
      </c>
      <c r="D12" s="44"/>
      <c r="E12" s="44"/>
      <c r="F12" s="44"/>
      <c r="G12" s="44"/>
      <c r="H12" s="44"/>
      <c r="I12" s="44"/>
      <c r="J12" s="44"/>
      <c r="K12" s="44"/>
      <c r="L12" s="44"/>
      <c r="M12" s="44"/>
      <c r="N12" s="44"/>
      <c r="O12" s="44"/>
      <c r="P12" s="44"/>
      <c r="Q12" s="49"/>
      <c r="R12" s="6"/>
      <c r="S12" s="16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53"/>
      <c r="ET12" s="136"/>
    </row>
    <row r="13" spans="1:150" ht="15.65" customHeight="1" x14ac:dyDescent="0.35">
      <c r="A13" s="132"/>
      <c r="B13" s="119"/>
      <c r="C13" s="162"/>
      <c r="D13" s="1"/>
      <c r="E13" s="1"/>
      <c r="F13" s="1"/>
      <c r="G13" s="1"/>
      <c r="H13" s="1"/>
      <c r="I13" s="1"/>
      <c r="J13" s="1"/>
      <c r="K13" s="1"/>
      <c r="L13" s="1"/>
      <c r="M13" s="1"/>
      <c r="N13" s="1"/>
      <c r="O13" s="1"/>
      <c r="P13" s="1"/>
      <c r="Q13" s="69"/>
      <c r="R13" s="6"/>
      <c r="S13" s="16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53"/>
      <c r="ET13" s="136"/>
    </row>
    <row r="14" spans="1:150" ht="15.65" customHeight="1" x14ac:dyDescent="0.35">
      <c r="A14" s="132"/>
      <c r="B14" s="119"/>
      <c r="C14" s="162"/>
      <c r="D14" s="407" t="s">
        <v>58</v>
      </c>
      <c r="E14" s="408"/>
      <c r="F14" s="394" t="s">
        <v>59</v>
      </c>
      <c r="G14" s="396"/>
      <c r="H14" s="411" t="s">
        <v>60</v>
      </c>
      <c r="I14" s="411"/>
      <c r="J14" s="411"/>
      <c r="K14" s="411"/>
      <c r="L14" s="411"/>
      <c r="M14" s="411"/>
      <c r="N14" s="411"/>
      <c r="O14" s="411"/>
      <c r="P14" s="411"/>
      <c r="Q14" s="69"/>
      <c r="R14" s="6"/>
      <c r="S14" s="16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53"/>
      <c r="ET14" s="136"/>
    </row>
    <row r="15" spans="1:150" ht="36.65" customHeight="1" x14ac:dyDescent="0.35">
      <c r="A15" s="132"/>
      <c r="B15" s="119"/>
      <c r="C15" s="162"/>
      <c r="D15" s="409"/>
      <c r="E15" s="410"/>
      <c r="F15" s="163" t="s">
        <v>61</v>
      </c>
      <c r="G15" s="164" t="s">
        <v>62</v>
      </c>
      <c r="H15" s="165" t="s">
        <v>63</v>
      </c>
      <c r="I15" s="165" t="s">
        <v>64</v>
      </c>
      <c r="J15" s="165" t="s">
        <v>65</v>
      </c>
      <c r="K15" s="165" t="s">
        <v>26</v>
      </c>
      <c r="L15" s="165" t="s">
        <v>27</v>
      </c>
      <c r="M15" s="165" t="s">
        <v>28</v>
      </c>
      <c r="N15" s="165" t="s">
        <v>29</v>
      </c>
      <c r="O15" s="165" t="s">
        <v>30</v>
      </c>
      <c r="P15" s="165" t="s">
        <v>31</v>
      </c>
      <c r="Q15" s="69"/>
      <c r="R15" s="6"/>
      <c r="S15" s="16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53"/>
      <c r="ET15" s="136"/>
    </row>
    <row r="16" spans="1:150" ht="15.65" customHeight="1" x14ac:dyDescent="0.35">
      <c r="A16" s="132"/>
      <c r="B16" s="119"/>
      <c r="C16" s="162"/>
      <c r="D16" s="1"/>
      <c r="E16" s="1"/>
      <c r="F16" s="1"/>
      <c r="G16" s="1"/>
      <c r="H16" s="321"/>
      <c r="I16" s="321"/>
      <c r="J16" s="321"/>
      <c r="K16" s="321"/>
      <c r="L16" s="321"/>
      <c r="M16" s="321"/>
      <c r="N16" s="321"/>
      <c r="O16" s="321"/>
      <c r="P16" s="321"/>
      <c r="Q16" s="69"/>
      <c r="R16" s="6"/>
      <c r="S16" s="16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53"/>
      <c r="ET16" s="136"/>
    </row>
    <row r="17" spans="1:150" ht="15.65" customHeight="1" x14ac:dyDescent="0.35">
      <c r="A17" s="132"/>
      <c r="B17" s="119"/>
      <c r="C17" s="162"/>
      <c r="D17" s="166" t="s">
        <v>66</v>
      </c>
      <c r="E17" s="167"/>
      <c r="F17" s="168">
        <f>SUM(F18:F24)</f>
        <v>73052</v>
      </c>
      <c r="G17" s="168">
        <f t="shared" ref="G17:P17" si="0">SUM(G18:G24)</f>
        <v>767</v>
      </c>
      <c r="H17" s="323">
        <f t="shared" si="0"/>
        <v>25</v>
      </c>
      <c r="I17" s="323">
        <f t="shared" si="0"/>
        <v>12</v>
      </c>
      <c r="J17" s="323">
        <f t="shared" si="0"/>
        <v>115</v>
      </c>
      <c r="K17" s="323">
        <f t="shared" si="0"/>
        <v>195</v>
      </c>
      <c r="L17" s="323">
        <f t="shared" si="0"/>
        <v>210</v>
      </c>
      <c r="M17" s="323">
        <f t="shared" si="0"/>
        <v>0</v>
      </c>
      <c r="N17" s="323">
        <f t="shared" si="0"/>
        <v>0</v>
      </c>
      <c r="O17" s="323">
        <f t="shared" si="0"/>
        <v>0</v>
      </c>
      <c r="P17" s="324">
        <f t="shared" si="0"/>
        <v>210</v>
      </c>
      <c r="Q17" s="69"/>
      <c r="R17" s="6"/>
      <c r="S17" s="16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53"/>
      <c r="ET17" s="136"/>
    </row>
    <row r="18" spans="1:150" ht="15.65" customHeight="1" x14ac:dyDescent="0.35">
      <c r="A18" s="132"/>
      <c r="B18" s="119"/>
      <c r="C18" s="162"/>
      <c r="D18" s="169" t="s">
        <v>67</v>
      </c>
      <c r="E18" s="7"/>
      <c r="F18" s="170">
        <f>H18*'Scope and Scaling Factors'!$Q$20+I18*'Resource Plan - Target Deepdive'!$J$32+J18*'Scope and Scaling Factors'!$R$20+K18*'Scope and Scaling Factors'!$S$20+L18*'Scope and Scaling Factors'!$T$20+M18*'Scope and Scaling Factors'!$U$20+N18*'Scope and Scaling Factors'!$V$20+O18*'Scope and Scaling Factors'!$W$20+P18*'Scope and Scaling Factors'!$X$20</f>
        <v>9723</v>
      </c>
      <c r="G18" s="171">
        <f>SUM(H18:P18)</f>
        <v>83</v>
      </c>
      <c r="H18" s="325">
        <v>5</v>
      </c>
      <c r="I18" s="325">
        <v>3</v>
      </c>
      <c r="J18" s="325">
        <v>15</v>
      </c>
      <c r="K18" s="325">
        <v>20</v>
      </c>
      <c r="L18" s="325">
        <v>20</v>
      </c>
      <c r="M18" s="325"/>
      <c r="N18" s="325"/>
      <c r="O18" s="325"/>
      <c r="P18" s="326">
        <v>20</v>
      </c>
      <c r="Q18" s="69"/>
      <c r="R18" s="6"/>
      <c r="S18" s="16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53"/>
      <c r="ET18" s="136"/>
    </row>
    <row r="19" spans="1:150" ht="15.65" customHeight="1" x14ac:dyDescent="0.35">
      <c r="A19" s="132"/>
      <c r="B19" s="119"/>
      <c r="C19" s="162"/>
      <c r="D19" s="169" t="s">
        <v>68</v>
      </c>
      <c r="E19" s="7"/>
      <c r="F19" s="170">
        <f>H19*'Scope and Scaling Factors'!$Q$20+I19*'Resource Plan - Target Deepdive'!$J$32+J19*'Scope and Scaling Factors'!$R$20+K19*'Scope and Scaling Factors'!$S$20+L19*'Scope and Scaling Factors'!$T$20+M19*'Scope and Scaling Factors'!$U$20+N19*'Scope and Scaling Factors'!$V$20+O19*'Scope and Scaling Factors'!$W$20+P19*'Scope and Scaling Factors'!$X$20</f>
        <v>8810</v>
      </c>
      <c r="G19" s="171">
        <f t="shared" ref="G19:G24" si="1">SUM(H19:P19)</f>
        <v>70</v>
      </c>
      <c r="H19" s="325">
        <v>5</v>
      </c>
      <c r="I19" s="325"/>
      <c r="J19" s="325">
        <v>15</v>
      </c>
      <c r="K19" s="325">
        <v>20</v>
      </c>
      <c r="L19" s="325">
        <v>15</v>
      </c>
      <c r="M19" s="325"/>
      <c r="N19" s="325"/>
      <c r="O19" s="325"/>
      <c r="P19" s="326">
        <v>15</v>
      </c>
      <c r="Q19" s="69"/>
      <c r="R19" s="6"/>
      <c r="S19" s="16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53"/>
      <c r="ET19" s="136"/>
    </row>
    <row r="20" spans="1:150" ht="15.65" customHeight="1" x14ac:dyDescent="0.35">
      <c r="A20" s="132"/>
      <c r="B20" s="172"/>
      <c r="C20" s="162"/>
      <c r="D20" s="169" t="s">
        <v>69</v>
      </c>
      <c r="E20" s="7"/>
      <c r="F20" s="170">
        <f>H20*'Scope and Scaling Factors'!$Q$20+I20*'Resource Plan - Target Deepdive'!$J$32+J20*'Scope and Scaling Factors'!$R$20+K20*'Scope and Scaling Factors'!$S$20+L20*'Scope and Scaling Factors'!$T$20+M20*'Scope and Scaling Factors'!$U$20+N20*'Scope and Scaling Factors'!$V$20+O20*'Scope and Scaling Factors'!$W$20+P20*'Scope and Scaling Factors'!$X$20</f>
        <v>10098</v>
      </c>
      <c r="G20" s="171">
        <f t="shared" si="1"/>
        <v>110</v>
      </c>
      <c r="H20" s="325">
        <v>3</v>
      </c>
      <c r="I20" s="325">
        <v>2</v>
      </c>
      <c r="J20" s="325">
        <v>15</v>
      </c>
      <c r="K20" s="325">
        <v>30</v>
      </c>
      <c r="L20" s="325">
        <v>30</v>
      </c>
      <c r="M20" s="325"/>
      <c r="N20" s="325"/>
      <c r="O20" s="325"/>
      <c r="P20" s="326">
        <v>30</v>
      </c>
      <c r="Q20" s="69"/>
      <c r="R20" s="6"/>
      <c r="S20" s="16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53"/>
      <c r="ET20" s="136"/>
    </row>
    <row r="21" spans="1:150" ht="15.65" customHeight="1" x14ac:dyDescent="0.35">
      <c r="A21" s="132"/>
      <c r="B21" s="172"/>
      <c r="C21" s="162"/>
      <c r="D21" s="169" t="s">
        <v>70</v>
      </c>
      <c r="E21" s="7"/>
      <c r="F21" s="170">
        <f>H21*'Scope and Scaling Factors'!$Q$20+I21*'Resource Plan - Target Deepdive'!$J$32+J21*'Scope and Scaling Factors'!$R$20+K21*'Scope and Scaling Factors'!$S$20+L21*'Scope and Scaling Factors'!$T$20+M21*'Scope and Scaling Factors'!$U$20+N21*'Scope and Scaling Factors'!$V$20+O21*'Scope and Scaling Factors'!$W$20+P21*'Scope and Scaling Factors'!$X$20</f>
        <v>9585</v>
      </c>
      <c r="G21" s="171">
        <f t="shared" si="1"/>
        <v>107</v>
      </c>
      <c r="H21" s="325">
        <v>3</v>
      </c>
      <c r="I21" s="325">
        <v>4</v>
      </c>
      <c r="J21" s="325">
        <v>10</v>
      </c>
      <c r="K21" s="325">
        <v>30</v>
      </c>
      <c r="L21" s="325">
        <v>30</v>
      </c>
      <c r="M21" s="325"/>
      <c r="N21" s="325"/>
      <c r="O21" s="325"/>
      <c r="P21" s="326">
        <v>30</v>
      </c>
      <c r="Q21" s="69"/>
      <c r="R21" s="6"/>
      <c r="S21" s="16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53"/>
      <c r="ET21" s="136"/>
    </row>
    <row r="22" spans="1:150" ht="15.65" customHeight="1" x14ac:dyDescent="0.35">
      <c r="A22" s="132"/>
      <c r="B22" s="172"/>
      <c r="C22" s="162"/>
      <c r="D22" s="169" t="s">
        <v>71</v>
      </c>
      <c r="E22" s="7"/>
      <c r="F22" s="170">
        <f>H22*'Scope and Scaling Factors'!$Q$20+I22*'Resource Plan - Target Deepdive'!$J$32+J22*'Scope and Scaling Factors'!$R$20+K22*'Scope and Scaling Factors'!$S$20+L22*'Scope and Scaling Factors'!$T$20+M22*'Scope and Scaling Factors'!$U$20+N22*'Scope and Scaling Factors'!$V$20+O22*'Scope and Scaling Factors'!$W$20+P22*'Scope and Scaling Factors'!$X$20</f>
        <v>14503</v>
      </c>
      <c r="G22" s="171">
        <f t="shared" si="1"/>
        <v>148</v>
      </c>
      <c r="H22" s="325">
        <v>5</v>
      </c>
      <c r="I22" s="325">
        <v>3</v>
      </c>
      <c r="J22" s="325">
        <v>25</v>
      </c>
      <c r="K22" s="325">
        <v>35</v>
      </c>
      <c r="L22" s="325">
        <v>40</v>
      </c>
      <c r="M22" s="325"/>
      <c r="N22" s="325"/>
      <c r="O22" s="325"/>
      <c r="P22" s="326">
        <v>40</v>
      </c>
      <c r="Q22" s="69"/>
      <c r="R22" s="6"/>
      <c r="S22" s="16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53"/>
      <c r="ET22" s="136"/>
    </row>
    <row r="23" spans="1:150" ht="15.65" customHeight="1" x14ac:dyDescent="0.35">
      <c r="A23" s="132"/>
      <c r="B23" s="172"/>
      <c r="C23" s="162"/>
      <c r="D23" s="169" t="s">
        <v>72</v>
      </c>
      <c r="E23" s="7"/>
      <c r="F23" s="170">
        <f>H23*'Scope and Scaling Factors'!$Q$20+I23*'Resource Plan - Target Deepdive'!$J$32+J23*'Scope and Scaling Factors'!$R$20+K23*'Scope and Scaling Factors'!$S$20+L23*'Scope and Scaling Factors'!$T$20+M23*'Scope and Scaling Factors'!$U$20+N23*'Scope and Scaling Factors'!$V$20+O23*'Scope and Scaling Factors'!$W$20+P23*'Scope and Scaling Factors'!$X$20</f>
        <v>8249</v>
      </c>
      <c r="G23" s="171">
        <f t="shared" si="1"/>
        <v>92</v>
      </c>
      <c r="H23" s="325">
        <v>2</v>
      </c>
      <c r="I23" s="325"/>
      <c r="J23" s="325">
        <v>15</v>
      </c>
      <c r="K23" s="325">
        <v>25</v>
      </c>
      <c r="L23" s="325">
        <v>25</v>
      </c>
      <c r="M23" s="325"/>
      <c r="N23" s="325"/>
      <c r="O23" s="325"/>
      <c r="P23" s="326">
        <v>25</v>
      </c>
      <c r="Q23" s="69"/>
      <c r="R23" s="6"/>
      <c r="S23" s="16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53"/>
      <c r="ET23" s="136"/>
    </row>
    <row r="24" spans="1:150" ht="15.65" customHeight="1" x14ac:dyDescent="0.35">
      <c r="A24" s="132"/>
      <c r="B24" s="172"/>
      <c r="C24" s="162"/>
      <c r="D24" s="173" t="s">
        <v>73</v>
      </c>
      <c r="E24" s="174"/>
      <c r="F24" s="175">
        <f>H24*'Scope and Scaling Factors'!$Q$20+I24*'Resource Plan - Target Deepdive'!$J$32+J24*'Scope and Scaling Factors'!$R$20+K24*'Scope and Scaling Factors'!$S$20+L24*'Scope and Scaling Factors'!$T$20+M24*'Scope and Scaling Factors'!$U$20+N24*'Scope and Scaling Factors'!$V$20+O24*'Scope and Scaling Factors'!$W$20+P24*'Scope and Scaling Factors'!$X$20</f>
        <v>12084</v>
      </c>
      <c r="G24" s="176">
        <f t="shared" si="1"/>
        <v>157</v>
      </c>
      <c r="H24" s="327">
        <v>2</v>
      </c>
      <c r="I24" s="327"/>
      <c r="J24" s="327">
        <v>20</v>
      </c>
      <c r="K24" s="327">
        <v>35</v>
      </c>
      <c r="L24" s="327">
        <v>50</v>
      </c>
      <c r="M24" s="327"/>
      <c r="N24" s="327"/>
      <c r="O24" s="327"/>
      <c r="P24" s="330">
        <v>50</v>
      </c>
      <c r="Q24" s="69"/>
      <c r="R24" s="6"/>
      <c r="S24" s="16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53"/>
      <c r="ET24" s="136"/>
    </row>
    <row r="25" spans="1:150" ht="15.65" customHeight="1" x14ac:dyDescent="0.35">
      <c r="A25" s="132"/>
      <c r="B25" s="119"/>
      <c r="C25" s="162"/>
      <c r="D25" s="177"/>
      <c r="E25" s="1"/>
      <c r="F25" s="179"/>
      <c r="G25" s="179"/>
      <c r="H25" s="328"/>
      <c r="I25" s="328"/>
      <c r="J25" s="328"/>
      <c r="K25" s="338"/>
      <c r="L25" s="338"/>
      <c r="M25" s="338"/>
      <c r="N25" s="338"/>
      <c r="O25" s="328"/>
      <c r="P25" s="328"/>
      <c r="Q25" s="69"/>
      <c r="R25" s="6"/>
      <c r="S25" s="16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53"/>
      <c r="ET25" s="136"/>
    </row>
    <row r="26" spans="1:150" ht="15.65" customHeight="1" x14ac:dyDescent="0.35">
      <c r="A26" s="132"/>
      <c r="B26" s="119"/>
      <c r="C26" s="162"/>
      <c r="D26" s="166" t="s">
        <v>74</v>
      </c>
      <c r="E26" s="167"/>
      <c r="F26" s="168">
        <f t="shared" ref="F26:P26" si="2">SUM(F27:F33)</f>
        <v>77833</v>
      </c>
      <c r="G26" s="168">
        <f t="shared" si="2"/>
        <v>858</v>
      </c>
      <c r="H26" s="323">
        <f t="shared" si="2"/>
        <v>25</v>
      </c>
      <c r="I26" s="323">
        <f t="shared" si="2"/>
        <v>8</v>
      </c>
      <c r="J26" s="323">
        <f t="shared" si="2"/>
        <v>110</v>
      </c>
      <c r="K26" s="323">
        <f t="shared" si="2"/>
        <v>235</v>
      </c>
      <c r="L26" s="323">
        <f t="shared" si="2"/>
        <v>240</v>
      </c>
      <c r="M26" s="323">
        <f t="shared" si="2"/>
        <v>0</v>
      </c>
      <c r="N26" s="323">
        <f t="shared" si="2"/>
        <v>0</v>
      </c>
      <c r="O26" s="323">
        <f t="shared" si="2"/>
        <v>0</v>
      </c>
      <c r="P26" s="324">
        <f t="shared" si="2"/>
        <v>240</v>
      </c>
      <c r="Q26" s="69"/>
      <c r="R26" s="6"/>
      <c r="S26" s="16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53"/>
      <c r="ET26" s="136"/>
    </row>
    <row r="27" spans="1:150" ht="15.65" customHeight="1" x14ac:dyDescent="0.35">
      <c r="A27" s="132"/>
      <c r="B27" s="119"/>
      <c r="C27" s="162"/>
      <c r="D27" s="169" t="s">
        <v>75</v>
      </c>
      <c r="E27" s="7"/>
      <c r="F27" s="170">
        <f>H27*'Scope and Scaling Factors'!$Q$20+I27*'Resource Plan - Target Deepdive'!$J$32++J27*'Scope and Scaling Factors'!$R$20+K27*'Scope and Scaling Factors'!$S$20+L27*'Scope and Scaling Factors'!$T$20+M27*'Scope and Scaling Factors'!$U$20+N27*'Scope and Scaling Factors'!$V$20+O27*'Scope and Scaling Factors'!$W$20+P27*'Scope and Scaling Factors'!$X$20</f>
        <v>14684</v>
      </c>
      <c r="G27" s="171">
        <f>SUM(H27:P27)</f>
        <v>176</v>
      </c>
      <c r="H27" s="325">
        <v>3</v>
      </c>
      <c r="I27" s="325">
        <v>3</v>
      </c>
      <c r="J27" s="325">
        <v>20</v>
      </c>
      <c r="K27" s="325">
        <v>50</v>
      </c>
      <c r="L27" s="325">
        <v>50</v>
      </c>
      <c r="M27" s="325"/>
      <c r="N27" s="325"/>
      <c r="O27" s="325"/>
      <c r="P27" s="326">
        <v>50</v>
      </c>
      <c r="Q27" s="69"/>
      <c r="R27" s="6"/>
      <c r="S27" s="16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53"/>
      <c r="ET27" s="136"/>
    </row>
    <row r="28" spans="1:150" ht="15.65" customHeight="1" x14ac:dyDescent="0.35">
      <c r="A28" s="132"/>
      <c r="B28" s="119"/>
      <c r="C28" s="162"/>
      <c r="D28" s="169" t="s">
        <v>76</v>
      </c>
      <c r="E28" s="7"/>
      <c r="F28" s="170">
        <f>H28*'Scope and Scaling Factors'!$Q$20+I28*'Resource Plan - Target Deepdive'!$J$32++J28*'Scope and Scaling Factors'!$R$20+K28*'Scope and Scaling Factors'!$S$20+L28*'Scope and Scaling Factors'!$T$20+M28*'Scope and Scaling Factors'!$U$20+N28*'Scope and Scaling Factors'!$V$20+O28*'Scope and Scaling Factors'!$W$20+P28*'Scope and Scaling Factors'!$X$20</f>
        <v>14138</v>
      </c>
      <c r="G28" s="171">
        <f t="shared" ref="G28:G33" si="3">SUM(H28:P28)</f>
        <v>148</v>
      </c>
      <c r="H28" s="325">
        <v>5</v>
      </c>
      <c r="I28" s="325">
        <v>3</v>
      </c>
      <c r="J28" s="325">
        <v>20</v>
      </c>
      <c r="K28" s="325">
        <v>40</v>
      </c>
      <c r="L28" s="325">
        <v>40</v>
      </c>
      <c r="M28" s="325"/>
      <c r="N28" s="325"/>
      <c r="O28" s="325"/>
      <c r="P28" s="326">
        <v>40</v>
      </c>
      <c r="Q28" s="69"/>
      <c r="R28" s="6"/>
      <c r="S28" s="16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53"/>
      <c r="ET28" s="136"/>
    </row>
    <row r="29" spans="1:150" ht="15.65" customHeight="1" x14ac:dyDescent="0.35">
      <c r="A29" s="132"/>
      <c r="B29" s="119"/>
      <c r="C29" s="162"/>
      <c r="D29" s="169" t="s">
        <v>77</v>
      </c>
      <c r="E29" s="7"/>
      <c r="F29" s="170">
        <f>H29*'Scope and Scaling Factors'!$Q$20+I29*'Resource Plan - Target Deepdive'!$J$32++J29*'Scope and Scaling Factors'!$R$20+K29*'Scope and Scaling Factors'!$S$20+L29*'Scope and Scaling Factors'!$T$20+M29*'Scope and Scaling Factors'!$U$20+N29*'Scope and Scaling Factors'!$V$20+O29*'Scope and Scaling Factors'!$W$20+P29*'Scope and Scaling Factors'!$X$20</f>
        <v>9987</v>
      </c>
      <c r="G29" s="171">
        <f t="shared" si="3"/>
        <v>102</v>
      </c>
      <c r="H29" s="325">
        <v>5</v>
      </c>
      <c r="I29" s="325">
        <v>2</v>
      </c>
      <c r="J29" s="325">
        <v>10</v>
      </c>
      <c r="K29" s="325">
        <v>25</v>
      </c>
      <c r="L29" s="325">
        <v>30</v>
      </c>
      <c r="M29" s="325"/>
      <c r="N29" s="325"/>
      <c r="O29" s="325"/>
      <c r="P29" s="326">
        <v>30</v>
      </c>
      <c r="Q29" s="69"/>
      <c r="R29" s="6"/>
      <c r="S29" s="16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53"/>
      <c r="ET29" s="136"/>
    </row>
    <row r="30" spans="1:150" ht="15.65" customHeight="1" x14ac:dyDescent="0.35">
      <c r="A30" s="132"/>
      <c r="B30" s="119"/>
      <c r="C30" s="162"/>
      <c r="D30" s="169" t="s">
        <v>78</v>
      </c>
      <c r="E30" s="7"/>
      <c r="F30" s="170">
        <f>H30*'Scope and Scaling Factors'!$Q$20+I30*'Resource Plan - Target Deepdive'!$J$32++J30*'Scope and Scaling Factors'!$R$20+K30*'Scope and Scaling Factors'!$S$20+L30*'Scope and Scaling Factors'!$T$20+M30*'Scope and Scaling Factors'!$U$20+N30*'Scope and Scaling Factors'!$V$20+O30*'Scope and Scaling Factors'!$W$20+P30*'Scope and Scaling Factors'!$X$20</f>
        <v>7955</v>
      </c>
      <c r="G30" s="171">
        <f t="shared" si="3"/>
        <v>65</v>
      </c>
      <c r="H30" s="325">
        <v>5</v>
      </c>
      <c r="I30" s="325"/>
      <c r="J30" s="325">
        <v>10</v>
      </c>
      <c r="K30" s="325">
        <v>20</v>
      </c>
      <c r="L30" s="325">
        <v>15</v>
      </c>
      <c r="M30" s="325"/>
      <c r="N30" s="325"/>
      <c r="O30" s="325"/>
      <c r="P30" s="326">
        <v>15</v>
      </c>
      <c r="Q30" s="69"/>
      <c r="R30" s="6"/>
      <c r="S30" s="16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53"/>
      <c r="ET30" s="136"/>
    </row>
    <row r="31" spans="1:150" ht="15.65" customHeight="1" x14ac:dyDescent="0.35">
      <c r="A31" s="132"/>
      <c r="B31" s="119"/>
      <c r="C31" s="162"/>
      <c r="D31" s="169" t="s">
        <v>79</v>
      </c>
      <c r="E31" s="7"/>
      <c r="F31" s="170">
        <f>H31*'Scope and Scaling Factors'!$Q$20+I31*'Resource Plan - Target Deepdive'!$J$32++J31*'Scope and Scaling Factors'!$R$20+K31*'Scope and Scaling Factors'!$S$20+L31*'Scope and Scaling Factors'!$T$20+M31*'Scope and Scaling Factors'!$U$20+N31*'Scope and Scaling Factors'!$V$20+O31*'Scope and Scaling Factors'!$W$20+P31*'Scope and Scaling Factors'!$X$20</f>
        <v>8034</v>
      </c>
      <c r="G31" s="171">
        <f t="shared" si="3"/>
        <v>86</v>
      </c>
      <c r="H31" s="325">
        <v>3</v>
      </c>
      <c r="I31" s="325"/>
      <c r="J31" s="325">
        <v>13</v>
      </c>
      <c r="K31" s="325">
        <v>20</v>
      </c>
      <c r="L31" s="325">
        <v>25</v>
      </c>
      <c r="M31" s="325"/>
      <c r="N31" s="325"/>
      <c r="O31" s="325"/>
      <c r="P31" s="326">
        <v>25</v>
      </c>
      <c r="Q31" s="69"/>
      <c r="R31" s="6"/>
      <c r="S31" s="16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53"/>
      <c r="ET31" s="136"/>
    </row>
    <row r="32" spans="1:150" ht="15.65" customHeight="1" x14ac:dyDescent="0.35">
      <c r="A32" s="132"/>
      <c r="B32" s="119"/>
      <c r="C32" s="162"/>
      <c r="D32" s="169" t="s">
        <v>80</v>
      </c>
      <c r="E32" s="7"/>
      <c r="F32" s="170">
        <f>H32*'Scope and Scaling Factors'!$Q$20+I32*'Resource Plan - Target Deepdive'!$J$32++J32*'Scope and Scaling Factors'!$R$20+K32*'Scope and Scaling Factors'!$S$20+L32*'Scope and Scaling Factors'!$T$20+M32*'Scope and Scaling Factors'!$U$20+N32*'Scope and Scaling Factors'!$V$20+O32*'Scope and Scaling Factors'!$W$20+P32*'Scope and Scaling Factors'!$X$20</f>
        <v>9035</v>
      </c>
      <c r="G32" s="171">
        <f t="shared" si="3"/>
        <v>103</v>
      </c>
      <c r="H32" s="325">
        <v>2</v>
      </c>
      <c r="I32" s="325"/>
      <c r="J32" s="325">
        <v>11</v>
      </c>
      <c r="K32" s="325">
        <v>40</v>
      </c>
      <c r="L32" s="325">
        <v>25</v>
      </c>
      <c r="M32" s="325"/>
      <c r="N32" s="325"/>
      <c r="O32" s="325"/>
      <c r="P32" s="326">
        <v>25</v>
      </c>
      <c r="Q32" s="69"/>
      <c r="R32" s="6"/>
      <c r="S32" s="16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53"/>
      <c r="ET32" s="136"/>
    </row>
    <row r="33" spans="1:150" ht="15.65" customHeight="1" x14ac:dyDescent="0.35">
      <c r="A33" s="132"/>
      <c r="B33" s="119"/>
      <c r="C33" s="162"/>
      <c r="D33" s="173" t="s">
        <v>81</v>
      </c>
      <c r="E33" s="174"/>
      <c r="F33" s="175">
        <f>H33*'Scope and Scaling Factors'!$Q$20+I33*'Resource Plan - Target Deepdive'!$J$32++J33*'Scope and Scaling Factors'!$R$20+K33*'Scope and Scaling Factors'!$S$20+L33*'Scope and Scaling Factors'!$T$20+M33*'Scope and Scaling Factors'!$U$20+N33*'Scope and Scaling Factors'!$V$20+O33*'Scope and Scaling Factors'!$W$20+P33*'Scope and Scaling Factors'!$X$20</f>
        <v>14000</v>
      </c>
      <c r="G33" s="176">
        <f t="shared" si="3"/>
        <v>178</v>
      </c>
      <c r="H33" s="327">
        <v>2</v>
      </c>
      <c r="I33" s="327"/>
      <c r="J33" s="327">
        <v>26</v>
      </c>
      <c r="K33" s="327">
        <v>40</v>
      </c>
      <c r="L33" s="327">
        <v>55</v>
      </c>
      <c r="M33" s="327"/>
      <c r="N33" s="327"/>
      <c r="O33" s="327"/>
      <c r="P33" s="330">
        <v>55</v>
      </c>
      <c r="Q33" s="69"/>
      <c r="R33" s="6"/>
      <c r="S33" s="16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53"/>
      <c r="ET33" s="136"/>
    </row>
    <row r="34" spans="1:150" ht="15.65" customHeight="1" x14ac:dyDescent="0.35">
      <c r="A34" s="132"/>
      <c r="B34" s="119"/>
      <c r="C34" s="162"/>
      <c r="D34" s="1"/>
      <c r="E34" s="1"/>
      <c r="F34" s="178"/>
      <c r="G34" s="179"/>
      <c r="H34" s="328"/>
      <c r="I34" s="328"/>
      <c r="J34" s="328"/>
      <c r="K34" s="328"/>
      <c r="L34" s="328"/>
      <c r="M34" s="328"/>
      <c r="N34" s="328"/>
      <c r="O34" s="328"/>
      <c r="P34" s="328"/>
      <c r="Q34" s="69"/>
      <c r="R34" s="6"/>
      <c r="S34" s="16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53"/>
      <c r="ET34" s="136"/>
    </row>
    <row r="35" spans="1:150" ht="15.65" customHeight="1" x14ac:dyDescent="0.35">
      <c r="A35" s="132"/>
      <c r="B35" s="119"/>
      <c r="C35" s="162"/>
      <c r="D35" s="1"/>
      <c r="E35" s="1"/>
      <c r="F35" s="178"/>
      <c r="G35" s="179"/>
      <c r="H35" s="328"/>
      <c r="I35" s="328"/>
      <c r="J35" s="328"/>
      <c r="K35" s="328"/>
      <c r="L35" s="328"/>
      <c r="M35" s="328"/>
      <c r="N35" s="328"/>
      <c r="O35" s="328"/>
      <c r="P35" s="328"/>
      <c r="Q35" s="69"/>
      <c r="R35" s="6"/>
      <c r="S35" s="16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53"/>
      <c r="ET35" s="136"/>
    </row>
    <row r="36" spans="1:150" ht="15.65" customHeight="1" x14ac:dyDescent="0.35">
      <c r="A36" s="132"/>
      <c r="B36" s="119"/>
      <c r="C36" s="162"/>
      <c r="D36" s="180" t="s">
        <v>82</v>
      </c>
      <c r="E36" s="181"/>
      <c r="F36" s="182">
        <f>H36*'Scope and Scaling Factors'!$Q$20+I36*'Resource Plan - Target Deepdive'!$J$32+J36*'Scope and Scaling Factors'!$R$20+K36*'Scope and Scaling Factors'!$S$20+L36*'Scope and Scaling Factors'!$T$20+M36*'Scope and Scaling Factors'!$U$20+N36*'Scope and Scaling Factors'!$V$20+O36*'Scope and Scaling Factors'!$W$20+P36*'Scope and Scaling Factors'!$X$20</f>
        <v>4525</v>
      </c>
      <c r="G36" s="184">
        <f>SUM(H36:P36)</f>
        <v>35</v>
      </c>
      <c r="H36" s="334"/>
      <c r="I36" s="334"/>
      <c r="J36" s="334">
        <v>15</v>
      </c>
      <c r="K36" s="334">
        <v>20</v>
      </c>
      <c r="L36" s="334"/>
      <c r="M36" s="334"/>
      <c r="N36" s="334"/>
      <c r="O36" s="334"/>
      <c r="P36" s="335"/>
      <c r="Q36" s="69"/>
      <c r="R36" s="6"/>
      <c r="S36" s="16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53"/>
      <c r="ET36" s="136"/>
    </row>
    <row r="37" spans="1:150" ht="15.65" customHeight="1" x14ac:dyDescent="0.35">
      <c r="A37" s="132"/>
      <c r="B37" s="119"/>
      <c r="C37" s="162"/>
      <c r="D37" s="1"/>
      <c r="E37" s="1"/>
      <c r="F37" s="178"/>
      <c r="G37" s="1"/>
      <c r="H37" s="1"/>
      <c r="I37" s="1"/>
      <c r="J37" s="1"/>
      <c r="K37" s="1"/>
      <c r="L37" s="1"/>
      <c r="M37" s="1"/>
      <c r="N37" s="1"/>
      <c r="O37" s="1"/>
      <c r="P37" s="1"/>
      <c r="Q37" s="69"/>
      <c r="R37" s="6"/>
      <c r="S37" s="16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53"/>
      <c r="ET37" s="136"/>
    </row>
    <row r="38" spans="1:150" ht="15.65" customHeight="1" x14ac:dyDescent="0.35">
      <c r="A38" s="132"/>
      <c r="B38" s="119"/>
      <c r="C38" s="162"/>
      <c r="D38" s="1"/>
      <c r="E38" s="1"/>
      <c r="F38" s="178"/>
      <c r="G38" s="1"/>
      <c r="H38" s="1"/>
      <c r="I38" s="1"/>
      <c r="J38" s="1"/>
      <c r="K38" s="1"/>
      <c r="L38" s="1"/>
      <c r="M38" s="1"/>
      <c r="N38" s="1"/>
      <c r="O38" s="1"/>
      <c r="P38" s="1"/>
      <c r="Q38" s="69"/>
      <c r="R38" s="6"/>
      <c r="S38" s="16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53"/>
      <c r="ET38" s="136"/>
    </row>
    <row r="39" spans="1:150" ht="15.65" customHeight="1" x14ac:dyDescent="0.35">
      <c r="A39" s="132"/>
      <c r="B39" s="119"/>
      <c r="C39" s="162"/>
      <c r="D39" s="185" t="s">
        <v>83</v>
      </c>
      <c r="E39" s="1"/>
      <c r="F39" s="186">
        <f t="shared" ref="F39:P39" si="4">F17+F26+F36</f>
        <v>155410</v>
      </c>
      <c r="G39" s="322">
        <f t="shared" si="4"/>
        <v>1660</v>
      </c>
      <c r="H39" s="322">
        <f t="shared" si="4"/>
        <v>50</v>
      </c>
      <c r="I39" s="322">
        <f t="shared" si="4"/>
        <v>20</v>
      </c>
      <c r="J39" s="322">
        <f t="shared" si="4"/>
        <v>240</v>
      </c>
      <c r="K39" s="322">
        <f t="shared" si="4"/>
        <v>450</v>
      </c>
      <c r="L39" s="322">
        <f t="shared" si="4"/>
        <v>450</v>
      </c>
      <c r="M39" s="322">
        <f t="shared" si="4"/>
        <v>0</v>
      </c>
      <c r="N39" s="322">
        <f t="shared" si="4"/>
        <v>0</v>
      </c>
      <c r="O39" s="322">
        <f t="shared" si="4"/>
        <v>0</v>
      </c>
      <c r="P39" s="322">
        <f t="shared" si="4"/>
        <v>450</v>
      </c>
      <c r="Q39" s="69"/>
      <c r="R39" s="6"/>
      <c r="S39" s="16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53"/>
      <c r="ET39" s="136"/>
    </row>
    <row r="40" spans="1:150" ht="15.65" customHeight="1" x14ac:dyDescent="0.35">
      <c r="A40" s="132"/>
      <c r="B40" s="119"/>
      <c r="C40" s="162"/>
      <c r="D40" s="1"/>
      <c r="E40" s="1"/>
      <c r="F40" s="187"/>
      <c r="G40" s="1"/>
      <c r="H40" s="1"/>
      <c r="I40" s="188"/>
      <c r="J40" s="188"/>
      <c r="K40" s="188"/>
      <c r="L40" s="188"/>
      <c r="M40" s="188"/>
      <c r="N40" s="188"/>
      <c r="O40" s="188"/>
      <c r="P40" s="188"/>
      <c r="Q40" s="69"/>
      <c r="R40" s="6"/>
      <c r="S40" s="16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53"/>
      <c r="ET40" s="136"/>
    </row>
    <row r="41" spans="1:150" ht="15.65" customHeight="1" x14ac:dyDescent="0.35">
      <c r="A41" s="132"/>
      <c r="B41" s="119"/>
      <c r="C41" s="162"/>
      <c r="D41" s="185"/>
      <c r="E41" s="1"/>
      <c r="F41" s="1"/>
      <c r="G41" s="1"/>
      <c r="H41" s="1"/>
      <c r="I41" s="1"/>
      <c r="J41" s="1"/>
      <c r="K41" s="1"/>
      <c r="L41" s="1"/>
      <c r="M41" s="1"/>
      <c r="N41" s="1"/>
      <c r="O41" s="1"/>
      <c r="P41" s="189"/>
      <c r="Q41" s="69"/>
      <c r="R41" s="6"/>
      <c r="S41" s="16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53"/>
      <c r="ET41" s="136"/>
    </row>
    <row r="42" spans="1:150" ht="15.65" customHeight="1" x14ac:dyDescent="0.35">
      <c r="A42" s="132"/>
      <c r="B42" s="119"/>
      <c r="C42" s="162"/>
      <c r="D42" s="1"/>
      <c r="E42" s="1"/>
      <c r="F42" s="1"/>
      <c r="G42" s="1"/>
      <c r="H42" s="1"/>
      <c r="I42" s="1"/>
      <c r="J42" s="1"/>
      <c r="K42" s="1"/>
      <c r="L42" s="1"/>
      <c r="M42" s="1"/>
      <c r="N42" s="1"/>
      <c r="O42" s="1"/>
      <c r="P42" s="1"/>
      <c r="Q42" s="69"/>
      <c r="R42" s="6"/>
      <c r="S42" s="16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53"/>
      <c r="ET42" s="136"/>
    </row>
    <row r="43" spans="1:150" ht="15.65" customHeight="1" x14ac:dyDescent="0.35">
      <c r="A43" s="132"/>
      <c r="B43" s="119"/>
      <c r="C43" s="190"/>
      <c r="D43" s="191"/>
      <c r="E43" s="191"/>
      <c r="F43" s="191"/>
      <c r="G43" s="191"/>
      <c r="H43" s="191"/>
      <c r="I43" s="191"/>
      <c r="J43" s="191"/>
      <c r="K43" s="191"/>
      <c r="L43" s="191"/>
      <c r="M43" s="191"/>
      <c r="N43" s="191"/>
      <c r="O43" s="191"/>
      <c r="P43" s="191"/>
      <c r="Q43" s="192"/>
      <c r="R43" s="6"/>
      <c r="S43" s="16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53"/>
      <c r="ET43" s="136"/>
    </row>
    <row r="44" spans="1:150" ht="15.65" customHeight="1" thickBot="1" x14ac:dyDescent="0.4">
      <c r="A44" s="132"/>
      <c r="B44" s="122"/>
      <c r="C44" s="193"/>
      <c r="D44" s="123"/>
      <c r="E44" s="123"/>
      <c r="F44" s="123"/>
      <c r="G44" s="123"/>
      <c r="H44" s="123"/>
      <c r="I44" s="123"/>
      <c r="J44" s="123"/>
      <c r="K44" s="123"/>
      <c r="L44" s="123"/>
      <c r="M44" s="123"/>
      <c r="N44" s="123"/>
      <c r="O44" s="123"/>
      <c r="P44" s="123"/>
      <c r="Q44" s="194"/>
      <c r="R44" s="15"/>
      <c r="S44" s="16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26"/>
      <c r="ET44" s="136"/>
    </row>
    <row r="45" spans="1:150" ht="15.65" customHeight="1" x14ac:dyDescent="0.3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c r="AM45" s="195"/>
      <c r="AN45" s="195"/>
      <c r="AO45" s="195"/>
      <c r="AP45" s="195"/>
      <c r="AQ45" s="195"/>
      <c r="AR45" s="195"/>
      <c r="AS45" s="195"/>
      <c r="AT45" s="195"/>
      <c r="AU45" s="195"/>
      <c r="AV45" s="195"/>
      <c r="AW45" s="195"/>
      <c r="AX45" s="195"/>
      <c r="AY45" s="195"/>
      <c r="AZ45" s="195"/>
      <c r="BA45" s="195"/>
      <c r="BB45" s="195"/>
      <c r="BC45" s="195"/>
      <c r="BD45" s="195"/>
      <c r="BE45" s="195"/>
      <c r="BF45" s="195"/>
      <c r="BG45" s="195"/>
      <c r="BH45" s="195"/>
      <c r="BI45" s="195"/>
      <c r="BJ45" s="195"/>
      <c r="BK45" s="195"/>
      <c r="BL45" s="195"/>
      <c r="BM45" s="195"/>
      <c r="BN45" s="195"/>
      <c r="BO45" s="195"/>
      <c r="BP45" s="195"/>
      <c r="BQ45" s="195"/>
      <c r="BR45" s="195"/>
      <c r="BS45" s="195"/>
      <c r="BT45" s="195"/>
      <c r="BU45" s="195"/>
      <c r="BV45" s="195"/>
      <c r="BW45" s="195"/>
      <c r="BX45" s="195"/>
      <c r="BY45" s="195"/>
      <c r="BZ45" s="195"/>
      <c r="CA45" s="195"/>
      <c r="CB45" s="195"/>
      <c r="CC45" s="195"/>
      <c r="CD45" s="195"/>
      <c r="CE45" s="195"/>
      <c r="CF45" s="195"/>
      <c r="CG45" s="195"/>
      <c r="CH45" s="195"/>
      <c r="CI45" s="195"/>
      <c r="CJ45" s="195"/>
      <c r="CK45" s="195"/>
      <c r="CL45" s="195"/>
      <c r="CM45" s="195"/>
      <c r="CN45" s="195"/>
      <c r="CO45" s="195"/>
      <c r="CP45" s="195"/>
      <c r="CQ45" s="195"/>
      <c r="CR45" s="195"/>
      <c r="CS45" s="195"/>
      <c r="CT45" s="195"/>
      <c r="CU45" s="195"/>
      <c r="CV45" s="195"/>
      <c r="CW45" s="195"/>
      <c r="CX45" s="195"/>
      <c r="CY45" s="195"/>
      <c r="CZ45" s="195"/>
      <c r="DA45" s="195"/>
      <c r="DB45" s="195"/>
      <c r="DC45" s="195"/>
      <c r="DD45" s="195"/>
      <c r="DE45" s="195"/>
      <c r="DF45" s="195"/>
      <c r="DG45" s="195"/>
      <c r="DH45" s="195"/>
      <c r="DI45" s="195"/>
      <c r="DJ45" s="195"/>
      <c r="DK45" s="195"/>
      <c r="DL45" s="195"/>
      <c r="DM45" s="195"/>
      <c r="DN45" s="195"/>
      <c r="DO45" s="195"/>
      <c r="DP45" s="195"/>
      <c r="DQ45" s="195"/>
      <c r="DR45" s="195"/>
      <c r="DS45" s="195"/>
      <c r="DT45" s="195"/>
      <c r="DU45" s="195"/>
      <c r="DV45" s="195"/>
      <c r="DW45" s="195"/>
      <c r="DX45" s="195"/>
      <c r="DY45" s="195"/>
      <c r="DZ45" s="195"/>
      <c r="EA45" s="195"/>
      <c r="EB45" s="195"/>
      <c r="EC45" s="195"/>
      <c r="ED45" s="195"/>
      <c r="EE45" s="195"/>
      <c r="EF45" s="195"/>
      <c r="EG45" s="195"/>
      <c r="EH45" s="195"/>
      <c r="EI45" s="195"/>
      <c r="EJ45" s="195"/>
      <c r="EK45" s="195"/>
      <c r="EL45" s="195"/>
      <c r="EM45" s="195"/>
      <c r="EN45" s="195"/>
      <c r="EO45" s="195"/>
      <c r="EP45" s="195"/>
      <c r="EQ45" s="195"/>
      <c r="ER45" s="195"/>
      <c r="ES45" s="195"/>
    </row>
  </sheetData>
  <sheetProtection formatColumns="0" formatRows="0"/>
  <mergeCells count="5">
    <mergeCell ref="C8:D9"/>
    <mergeCell ref="D14:E15"/>
    <mergeCell ref="F14:G14"/>
    <mergeCell ref="H14:P14"/>
    <mergeCell ref="C7:Q7"/>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ommandButton1">
          <controlPr defaultSize="0" autoLine="0" r:id="rId5">
            <anchor>
              <from>
                <xdr:col>6</xdr:col>
                <xdr:colOff>482600</xdr:colOff>
                <xdr:row>7</xdr:row>
                <xdr:rowOff>165100</xdr:rowOff>
              </from>
              <to>
                <xdr:col>8</xdr:col>
                <xdr:colOff>317500</xdr:colOff>
                <xdr:row>10</xdr:row>
                <xdr:rowOff>6350</xdr:rowOff>
              </to>
            </anchor>
          </controlPr>
        </control>
      </mc:Choice>
      <mc:Fallback>
        <control shapeId="8193"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EFA29-A61B-49C6-8997-C912580895CA}">
  <sheetPr codeName="Sheet5">
    <tabColor theme="7" tint="0.79998168889431442"/>
  </sheetPr>
  <dimension ref="B1:U65"/>
  <sheetViews>
    <sheetView zoomScale="80" zoomScaleNormal="80" workbookViewId="0">
      <selection activeCell="D22" sqref="D22"/>
    </sheetView>
  </sheetViews>
  <sheetFormatPr defaultColWidth="8.81640625" defaultRowHeight="14.5" x14ac:dyDescent="0.35"/>
  <cols>
    <col min="1" max="1" width="2" style="1" customWidth="1"/>
    <col min="2" max="3" width="2.81640625" style="1" customWidth="1"/>
    <col min="4" max="4" width="31.453125" style="1" customWidth="1"/>
    <col min="5" max="5" width="18.453125" style="1" customWidth="1"/>
    <col min="6" max="7" width="14.1796875" style="1" customWidth="1"/>
    <col min="8" max="8" width="17.1796875" style="1" customWidth="1"/>
    <col min="9" max="9" width="14.1796875" style="1" customWidth="1"/>
    <col min="10" max="13" width="2.81640625" style="1" customWidth="1"/>
    <col min="14" max="14" width="22" style="1" bestFit="1" customWidth="1"/>
    <col min="15" max="15" width="40.81640625" style="1" customWidth="1"/>
    <col min="16" max="17" width="2.81640625" style="1" customWidth="1"/>
    <col min="18" max="16384" width="8.81640625" style="1"/>
  </cols>
  <sheetData>
    <row r="1" spans="2:21" ht="11.9" customHeight="1" thickBot="1" x14ac:dyDescent="0.4"/>
    <row r="2" spans="2:21" ht="15" thickBot="1" x14ac:dyDescent="0.4">
      <c r="B2" s="196"/>
      <c r="C2" s="134"/>
      <c r="D2" s="134"/>
      <c r="E2" s="134"/>
      <c r="F2" s="134"/>
      <c r="G2" s="134"/>
      <c r="H2" s="134"/>
      <c r="I2" s="134"/>
      <c r="J2" s="134"/>
      <c r="K2" s="134"/>
      <c r="L2" s="134"/>
      <c r="M2" s="134"/>
      <c r="N2" s="134"/>
      <c r="O2" s="134"/>
      <c r="P2" s="134"/>
      <c r="Q2" s="135"/>
    </row>
    <row r="3" spans="2:21" ht="15" thickBot="1" x14ac:dyDescent="0.4">
      <c r="B3" s="197"/>
      <c r="C3" s="138" t="s">
        <v>2</v>
      </c>
      <c r="D3" s="44"/>
      <c r="E3" s="44"/>
      <c r="F3" s="44"/>
      <c r="G3" s="44"/>
      <c r="H3" s="44"/>
      <c r="I3" s="44"/>
      <c r="J3" s="44"/>
      <c r="K3" s="44"/>
      <c r="L3" s="44"/>
      <c r="M3" s="44"/>
      <c r="N3" s="44"/>
      <c r="O3" s="44"/>
      <c r="P3" s="49"/>
      <c r="Q3" s="139"/>
    </row>
    <row r="4" spans="2:21" ht="17.149999999999999" customHeight="1" thickBot="1" x14ac:dyDescent="0.4">
      <c r="B4" s="197"/>
      <c r="C4" s="379" t="s">
        <v>84</v>
      </c>
      <c r="D4" s="380"/>
      <c r="E4" s="380"/>
      <c r="F4" s="380"/>
      <c r="G4" s="380"/>
      <c r="H4" s="380"/>
      <c r="I4" s="380"/>
      <c r="J4" s="380"/>
      <c r="K4" s="380"/>
      <c r="L4" s="380"/>
      <c r="M4" s="380"/>
      <c r="N4" s="380"/>
      <c r="O4" s="380"/>
      <c r="P4" s="421"/>
      <c r="Q4" s="139"/>
    </row>
    <row r="5" spans="2:21" ht="89.15" customHeight="1" thickBot="1" x14ac:dyDescent="0.4">
      <c r="B5" s="197"/>
      <c r="C5" s="381" t="s">
        <v>85</v>
      </c>
      <c r="D5" s="362"/>
      <c r="E5" s="362" t="s">
        <v>86</v>
      </c>
      <c r="F5" s="362"/>
      <c r="G5" s="362"/>
      <c r="H5" s="362"/>
      <c r="I5" s="362"/>
      <c r="J5" s="362"/>
      <c r="K5" s="362"/>
      <c r="L5" s="362"/>
      <c r="M5" s="362"/>
      <c r="N5" s="362"/>
      <c r="O5" s="37"/>
      <c r="P5" s="38"/>
      <c r="Q5" s="139"/>
    </row>
    <row r="6" spans="2:21" ht="31.5" customHeight="1" thickBot="1" x14ac:dyDescent="0.4">
      <c r="B6" s="197"/>
      <c r="C6" s="382" t="s">
        <v>87</v>
      </c>
      <c r="D6" s="383"/>
      <c r="E6" s="383"/>
      <c r="F6" s="383"/>
      <c r="G6" s="383"/>
      <c r="H6" s="383"/>
      <c r="I6" s="383"/>
      <c r="J6" s="383"/>
      <c r="K6" s="383"/>
      <c r="L6" s="383"/>
      <c r="M6" s="383"/>
      <c r="N6" s="383"/>
      <c r="O6" s="383"/>
      <c r="P6" s="422"/>
      <c r="Q6" s="139"/>
    </row>
    <row r="7" spans="2:21" ht="15" thickBot="1" x14ac:dyDescent="0.4">
      <c r="B7" s="197"/>
      <c r="C7" s="7"/>
      <c r="D7" s="7"/>
      <c r="E7" s="7"/>
      <c r="F7" s="7"/>
      <c r="G7" s="7"/>
      <c r="H7" s="7"/>
      <c r="I7" s="7"/>
      <c r="J7" s="7"/>
      <c r="K7" s="198"/>
      <c r="L7" s="7"/>
      <c r="M7" s="7"/>
      <c r="N7" s="7"/>
      <c r="O7" s="7"/>
      <c r="P7" s="7"/>
      <c r="Q7" s="199"/>
    </row>
    <row r="8" spans="2:21" ht="32.15" customHeight="1" thickBot="1" x14ac:dyDescent="0.4">
      <c r="B8" s="200"/>
      <c r="C8" s="394" t="s">
        <v>88</v>
      </c>
      <c r="D8" s="395"/>
      <c r="E8" s="395"/>
      <c r="F8" s="395"/>
      <c r="G8" s="395"/>
      <c r="H8" s="395"/>
      <c r="I8" s="395"/>
      <c r="J8" s="396"/>
      <c r="K8" s="201"/>
      <c r="L8" s="423" t="s">
        <v>89</v>
      </c>
      <c r="M8" s="424"/>
      <c r="N8" s="424"/>
      <c r="O8" s="424"/>
      <c r="P8" s="425"/>
      <c r="Q8" s="143"/>
    </row>
    <row r="9" spans="2:21" ht="15" thickBot="1" x14ac:dyDescent="0.4">
      <c r="B9" s="200"/>
      <c r="C9" s="202"/>
      <c r="D9" s="203"/>
      <c r="E9" s="203"/>
      <c r="F9" s="203"/>
      <c r="G9" s="203"/>
      <c r="H9" s="203"/>
      <c r="I9" s="203"/>
      <c r="J9" s="204"/>
      <c r="K9" s="201"/>
      <c r="L9" s="205"/>
      <c r="M9" s="206"/>
      <c r="N9" s="206"/>
      <c r="O9" s="206"/>
      <c r="P9" s="207"/>
      <c r="Q9" s="143"/>
    </row>
    <row r="10" spans="2:21" ht="16.5" customHeight="1" thickBot="1" x14ac:dyDescent="0.4">
      <c r="B10" s="200"/>
      <c r="C10" s="208"/>
      <c r="D10" s="363" t="s">
        <v>90</v>
      </c>
      <c r="E10" s="363"/>
      <c r="F10" s="363"/>
      <c r="G10" s="363"/>
      <c r="H10" s="363"/>
      <c r="I10" s="363"/>
      <c r="J10" s="209"/>
      <c r="K10" s="201"/>
      <c r="L10" s="57"/>
      <c r="M10" s="415" t="s">
        <v>91</v>
      </c>
      <c r="N10" s="415"/>
      <c r="O10" s="418"/>
      <c r="P10" s="67"/>
      <c r="Q10" s="143"/>
      <c r="R10" s="417"/>
      <c r="S10" s="415"/>
      <c r="T10" s="415"/>
      <c r="U10" s="418"/>
    </row>
    <row r="11" spans="2:21" ht="33" customHeight="1" thickBot="1" x14ac:dyDescent="0.4">
      <c r="B11" s="200"/>
      <c r="C11" s="208"/>
      <c r="D11" s="383" t="s">
        <v>92</v>
      </c>
      <c r="E11" s="383"/>
      <c r="F11" s="383"/>
      <c r="G11" s="383"/>
      <c r="H11" s="383"/>
      <c r="I11" s="383"/>
      <c r="J11" s="209"/>
      <c r="K11" s="201"/>
      <c r="L11" s="57"/>
      <c r="M11" s="362"/>
      <c r="N11" s="362"/>
      <c r="O11" s="420"/>
      <c r="P11" s="67"/>
      <c r="Q11" s="143"/>
      <c r="R11" s="419"/>
      <c r="S11" s="362"/>
      <c r="T11" s="362"/>
      <c r="U11" s="420"/>
    </row>
    <row r="12" spans="2:21" s="218" customFormat="1" ht="29.5" thickBot="1" x14ac:dyDescent="0.4">
      <c r="B12" s="210"/>
      <c r="C12" s="211"/>
      <c r="D12" s="165" t="s">
        <v>93</v>
      </c>
      <c r="E12" s="165" t="s">
        <v>94</v>
      </c>
      <c r="F12" s="165" t="s">
        <v>95</v>
      </c>
      <c r="G12" s="165" t="s">
        <v>96</v>
      </c>
      <c r="H12" s="165" t="s">
        <v>97</v>
      </c>
      <c r="I12" s="165" t="s">
        <v>98</v>
      </c>
      <c r="J12" s="212"/>
      <c r="K12" s="213"/>
      <c r="L12" s="214"/>
      <c r="M12" s="215"/>
      <c r="N12" s="165" t="s">
        <v>99</v>
      </c>
      <c r="O12" s="165" t="s">
        <v>95</v>
      </c>
      <c r="P12" s="216"/>
      <c r="Q12" s="217"/>
    </row>
    <row r="13" spans="2:21" ht="15" thickBot="1" x14ac:dyDescent="0.4">
      <c r="B13" s="200"/>
      <c r="C13" s="219"/>
      <c r="D13" s="220" t="s">
        <v>100</v>
      </c>
      <c r="E13" s="220" t="s">
        <v>44</v>
      </c>
      <c r="F13" s="221" t="str">
        <f>IF(E13&lt;&gt;0,VLOOKUP(E13,$N$13:$O$63,2,FALSE),"")</f>
        <v>Partner</v>
      </c>
      <c r="G13" s="220" t="s">
        <v>101</v>
      </c>
      <c r="H13" s="220" t="s">
        <v>102</v>
      </c>
      <c r="I13" s="222">
        <v>617</v>
      </c>
      <c r="J13" s="223"/>
      <c r="K13" s="201"/>
      <c r="L13" s="68"/>
      <c r="M13" s="69"/>
      <c r="N13" s="221" t="s">
        <v>44</v>
      </c>
      <c r="O13" s="221" t="s">
        <v>24</v>
      </c>
      <c r="P13" s="60"/>
      <c r="Q13" s="143"/>
    </row>
    <row r="14" spans="2:21" ht="15" thickBot="1" x14ac:dyDescent="0.4">
      <c r="B14" s="200"/>
      <c r="C14" s="219"/>
      <c r="D14" s="220" t="s">
        <v>103</v>
      </c>
      <c r="E14" s="220" t="s">
        <v>46</v>
      </c>
      <c r="F14" s="221" t="str">
        <f t="shared" ref="F14:F63" si="0">IF(E14&lt;&gt;0,VLOOKUP(E14,$N$13:$O$63,2,FALSE),"")</f>
        <v>Senior Manager</v>
      </c>
      <c r="G14" s="220" t="s">
        <v>101</v>
      </c>
      <c r="H14" s="220" t="s">
        <v>102</v>
      </c>
      <c r="I14" s="222">
        <v>171</v>
      </c>
      <c r="J14" s="223"/>
      <c r="K14" s="201"/>
      <c r="L14" s="68"/>
      <c r="M14" s="69"/>
      <c r="N14" s="221" t="s">
        <v>104</v>
      </c>
      <c r="O14" s="221" t="s">
        <v>24</v>
      </c>
      <c r="P14" s="60"/>
      <c r="Q14" s="143"/>
    </row>
    <row r="15" spans="2:21" ht="15" thickBot="1" x14ac:dyDescent="0.4">
      <c r="B15" s="200"/>
      <c r="C15" s="219"/>
      <c r="D15" s="220" t="s">
        <v>105</v>
      </c>
      <c r="E15" s="220" t="s">
        <v>65</v>
      </c>
      <c r="F15" s="221" t="str">
        <f t="shared" si="0"/>
        <v>Senior Manager</v>
      </c>
      <c r="G15" s="220" t="s">
        <v>101</v>
      </c>
      <c r="H15" s="220" t="s">
        <v>102</v>
      </c>
      <c r="I15" s="222">
        <v>171</v>
      </c>
      <c r="J15" s="223"/>
      <c r="K15" s="201"/>
      <c r="L15" s="68"/>
      <c r="M15" s="69"/>
      <c r="N15" s="221" t="s">
        <v>106</v>
      </c>
      <c r="O15" s="221" t="s">
        <v>24</v>
      </c>
      <c r="P15" s="60"/>
      <c r="Q15" s="143"/>
    </row>
    <row r="16" spans="2:21" ht="15" thickBot="1" x14ac:dyDescent="0.4">
      <c r="B16" s="200"/>
      <c r="C16" s="219"/>
      <c r="D16" s="220" t="s">
        <v>107</v>
      </c>
      <c r="E16" s="220" t="s">
        <v>48</v>
      </c>
      <c r="F16" s="221" t="s">
        <v>26</v>
      </c>
      <c r="G16" s="220" t="s">
        <v>101</v>
      </c>
      <c r="H16" s="220" t="s">
        <v>102</v>
      </c>
      <c r="I16" s="222">
        <v>98</v>
      </c>
      <c r="J16" s="223"/>
      <c r="K16" s="201"/>
      <c r="L16" s="68"/>
      <c r="M16" s="69"/>
      <c r="N16" s="221" t="s">
        <v>108</v>
      </c>
      <c r="O16" s="221" t="s">
        <v>109</v>
      </c>
      <c r="P16" s="60"/>
      <c r="Q16" s="143"/>
    </row>
    <row r="17" spans="2:17" ht="15" thickBot="1" x14ac:dyDescent="0.4">
      <c r="B17" s="200"/>
      <c r="C17" s="219"/>
      <c r="D17" s="220" t="s">
        <v>110</v>
      </c>
      <c r="E17" s="220" t="s">
        <v>50</v>
      </c>
      <c r="F17" s="221" t="str">
        <f t="shared" si="0"/>
        <v>Senior</v>
      </c>
      <c r="G17" s="220" t="s">
        <v>101</v>
      </c>
      <c r="H17" s="220" t="s">
        <v>102</v>
      </c>
      <c r="I17" s="222">
        <v>59</v>
      </c>
      <c r="J17" s="223"/>
      <c r="K17" s="201"/>
      <c r="L17" s="68"/>
      <c r="M17" s="69"/>
      <c r="N17" s="221" t="s">
        <v>111</v>
      </c>
      <c r="O17" s="221" t="s">
        <v>109</v>
      </c>
      <c r="P17" s="60"/>
      <c r="Q17" s="143"/>
    </row>
    <row r="18" spans="2:17" ht="15" thickBot="1" x14ac:dyDescent="0.4">
      <c r="B18" s="200"/>
      <c r="C18" s="219"/>
      <c r="D18" s="220" t="s">
        <v>112</v>
      </c>
      <c r="E18" s="220" t="s">
        <v>52</v>
      </c>
      <c r="F18" s="221" t="str">
        <f>IF(E18&lt;&gt;0,VLOOKUP(E18,$N$13:$O$63,2,FALSE),"")</f>
        <v>Staff</v>
      </c>
      <c r="G18" s="220" t="s">
        <v>101</v>
      </c>
      <c r="H18" s="220" t="s">
        <v>102</v>
      </c>
      <c r="I18" s="222">
        <v>50</v>
      </c>
      <c r="J18" s="223"/>
      <c r="K18" s="201"/>
      <c r="L18" s="68"/>
      <c r="M18" s="69"/>
      <c r="N18" s="221" t="s">
        <v>113</v>
      </c>
      <c r="O18" s="221" t="s">
        <v>109</v>
      </c>
      <c r="P18" s="60"/>
      <c r="Q18" s="143"/>
    </row>
    <row r="19" spans="2:17" ht="15" thickBot="1" x14ac:dyDescent="0.4">
      <c r="B19" s="200"/>
      <c r="C19" s="219"/>
      <c r="D19" s="220" t="s">
        <v>114</v>
      </c>
      <c r="E19" s="220" t="s">
        <v>29</v>
      </c>
      <c r="F19" s="221" t="str">
        <f t="shared" si="0"/>
        <v>Senior Manager</v>
      </c>
      <c r="G19" s="220" t="s">
        <v>115</v>
      </c>
      <c r="H19" s="220" t="s">
        <v>116</v>
      </c>
      <c r="I19" s="222">
        <v>47</v>
      </c>
      <c r="J19" s="223"/>
      <c r="K19" s="201"/>
      <c r="L19" s="68"/>
      <c r="M19" s="69"/>
      <c r="N19" s="221" t="s">
        <v>117</v>
      </c>
      <c r="O19" s="221" t="s">
        <v>25</v>
      </c>
      <c r="P19" s="60"/>
      <c r="Q19" s="143"/>
    </row>
    <row r="20" spans="2:17" ht="15" thickBot="1" x14ac:dyDescent="0.4">
      <c r="B20" s="200"/>
      <c r="C20" s="219"/>
      <c r="D20" s="220" t="s">
        <v>118</v>
      </c>
      <c r="E20" s="220" t="s">
        <v>30</v>
      </c>
      <c r="F20" s="221" t="str">
        <f t="shared" si="0"/>
        <v>Manager</v>
      </c>
      <c r="G20" s="220" t="s">
        <v>115</v>
      </c>
      <c r="H20" s="220" t="s">
        <v>116</v>
      </c>
      <c r="I20" s="222">
        <v>34</v>
      </c>
      <c r="J20" s="223"/>
      <c r="K20" s="201"/>
      <c r="L20" s="68"/>
      <c r="M20" s="69"/>
      <c r="N20" s="221" t="s">
        <v>46</v>
      </c>
      <c r="O20" s="221" t="s">
        <v>25</v>
      </c>
      <c r="P20" s="60"/>
      <c r="Q20" s="143"/>
    </row>
    <row r="21" spans="2:17" ht="15" thickBot="1" x14ac:dyDescent="0.4">
      <c r="B21" s="200"/>
      <c r="C21" s="219"/>
      <c r="D21" s="220" t="s">
        <v>119</v>
      </c>
      <c r="E21" s="220" t="s">
        <v>31</v>
      </c>
      <c r="F21" s="221" t="str">
        <f t="shared" si="0"/>
        <v>Senior</v>
      </c>
      <c r="G21" s="220" t="s">
        <v>115</v>
      </c>
      <c r="H21" s="220" t="s">
        <v>116</v>
      </c>
      <c r="I21" s="222">
        <v>21</v>
      </c>
      <c r="J21" s="223"/>
      <c r="K21" s="201"/>
      <c r="L21" s="68"/>
      <c r="M21" s="69"/>
      <c r="N21" s="221" t="s">
        <v>65</v>
      </c>
      <c r="O21" s="221" t="s">
        <v>25</v>
      </c>
      <c r="P21" s="60"/>
      <c r="Q21" s="143"/>
    </row>
    <row r="22" spans="2:17" ht="15" thickBot="1" x14ac:dyDescent="0.4">
      <c r="B22" s="200"/>
      <c r="C22" s="219"/>
      <c r="D22" s="220"/>
      <c r="E22" s="220"/>
      <c r="F22" s="221" t="str">
        <f t="shared" si="0"/>
        <v/>
      </c>
      <c r="G22" s="220"/>
      <c r="H22" s="220"/>
      <c r="I22" s="222"/>
      <c r="J22" s="223"/>
      <c r="K22" s="201"/>
      <c r="L22" s="68"/>
      <c r="M22" s="69"/>
      <c r="N22" s="221" t="s">
        <v>120</v>
      </c>
      <c r="O22" s="221" t="s">
        <v>25</v>
      </c>
      <c r="P22" s="60"/>
      <c r="Q22" s="143"/>
    </row>
    <row r="23" spans="2:17" ht="15" thickBot="1" x14ac:dyDescent="0.4">
      <c r="B23" s="200"/>
      <c r="C23" s="219"/>
      <c r="D23" s="220"/>
      <c r="E23" s="220"/>
      <c r="F23" s="221"/>
      <c r="G23" s="220"/>
      <c r="H23" s="220"/>
      <c r="I23" s="222"/>
      <c r="J23" s="223"/>
      <c r="K23" s="201"/>
      <c r="L23" s="68"/>
      <c r="M23" s="69"/>
      <c r="N23" s="221" t="s">
        <v>121</v>
      </c>
      <c r="O23" s="221" t="s">
        <v>26</v>
      </c>
      <c r="P23" s="60"/>
      <c r="Q23" s="143"/>
    </row>
    <row r="24" spans="2:17" ht="15" thickBot="1" x14ac:dyDescent="0.4">
      <c r="B24" s="200"/>
      <c r="C24" s="219"/>
      <c r="D24" s="220"/>
      <c r="E24" s="220"/>
      <c r="F24" s="221"/>
      <c r="G24" s="220"/>
      <c r="H24" s="220"/>
      <c r="I24" s="222"/>
      <c r="J24" s="223"/>
      <c r="K24" s="201"/>
      <c r="L24" s="68"/>
      <c r="M24" s="69"/>
      <c r="N24" s="221" t="s">
        <v>48</v>
      </c>
      <c r="O24" s="221" t="s">
        <v>26</v>
      </c>
      <c r="P24" s="60"/>
      <c r="Q24" s="143"/>
    </row>
    <row r="25" spans="2:17" ht="15" thickBot="1" x14ac:dyDescent="0.4">
      <c r="B25" s="200"/>
      <c r="C25" s="219"/>
      <c r="D25" s="220"/>
      <c r="E25" s="220"/>
      <c r="F25" s="221"/>
      <c r="G25" s="220"/>
      <c r="H25" s="220"/>
      <c r="I25" s="222"/>
      <c r="J25" s="223"/>
      <c r="K25" s="201"/>
      <c r="L25" s="68"/>
      <c r="M25" s="69"/>
      <c r="N25" s="221" t="s">
        <v>122</v>
      </c>
      <c r="O25" s="221" t="s">
        <v>26</v>
      </c>
      <c r="P25" s="60"/>
      <c r="Q25" s="143"/>
    </row>
    <row r="26" spans="2:17" ht="15" thickBot="1" x14ac:dyDescent="0.4">
      <c r="B26" s="200"/>
      <c r="C26" s="219"/>
      <c r="D26" s="220"/>
      <c r="E26" s="220"/>
      <c r="F26" s="221"/>
      <c r="G26" s="220"/>
      <c r="H26" s="220"/>
      <c r="I26" s="222"/>
      <c r="J26" s="223"/>
      <c r="K26" s="201"/>
      <c r="L26" s="68"/>
      <c r="M26" s="69"/>
      <c r="N26" s="221" t="s">
        <v>123</v>
      </c>
      <c r="O26" s="221" t="s">
        <v>26</v>
      </c>
      <c r="P26" s="60"/>
      <c r="Q26" s="143"/>
    </row>
    <row r="27" spans="2:17" ht="15" thickBot="1" x14ac:dyDescent="0.4">
      <c r="B27" s="200"/>
      <c r="C27" s="219"/>
      <c r="D27" s="220"/>
      <c r="E27" s="220"/>
      <c r="F27" s="221"/>
      <c r="G27" s="220"/>
      <c r="H27" s="220"/>
      <c r="I27" s="222"/>
      <c r="J27" s="223"/>
      <c r="K27" s="201"/>
      <c r="L27" s="68"/>
      <c r="M27" s="69"/>
      <c r="N27" s="221" t="s">
        <v>50</v>
      </c>
      <c r="O27" s="221" t="s">
        <v>27</v>
      </c>
      <c r="P27" s="60"/>
      <c r="Q27" s="143"/>
    </row>
    <row r="28" spans="2:17" ht="15" thickBot="1" x14ac:dyDescent="0.4">
      <c r="B28" s="200"/>
      <c r="C28" s="219"/>
      <c r="D28" s="220"/>
      <c r="E28" s="220"/>
      <c r="F28" s="221"/>
      <c r="G28" s="220"/>
      <c r="H28" s="220"/>
      <c r="I28" s="222"/>
      <c r="J28" s="223"/>
      <c r="K28" s="201"/>
      <c r="L28" s="68"/>
      <c r="M28" s="69"/>
      <c r="N28" s="221" t="s">
        <v>124</v>
      </c>
      <c r="O28" s="221" t="s">
        <v>27</v>
      </c>
      <c r="P28" s="60"/>
      <c r="Q28" s="143"/>
    </row>
    <row r="29" spans="2:17" ht="15" thickBot="1" x14ac:dyDescent="0.4">
      <c r="B29" s="200"/>
      <c r="C29" s="219"/>
      <c r="D29" s="220"/>
      <c r="E29" s="220"/>
      <c r="F29" s="221"/>
      <c r="G29" s="220"/>
      <c r="H29" s="220"/>
      <c r="I29" s="222"/>
      <c r="J29" s="223"/>
      <c r="K29" s="201"/>
      <c r="L29" s="68"/>
      <c r="M29" s="69"/>
      <c r="N29" s="221" t="s">
        <v>125</v>
      </c>
      <c r="O29" s="221" t="s">
        <v>27</v>
      </c>
      <c r="P29" s="60"/>
      <c r="Q29" s="143"/>
    </row>
    <row r="30" spans="2:17" ht="15" thickBot="1" x14ac:dyDescent="0.4">
      <c r="B30" s="200"/>
      <c r="C30" s="219"/>
      <c r="D30" s="220"/>
      <c r="E30" s="220"/>
      <c r="F30" s="221"/>
      <c r="G30" s="220"/>
      <c r="H30" s="220"/>
      <c r="I30" s="222"/>
      <c r="J30" s="223"/>
      <c r="K30" s="201"/>
      <c r="L30" s="68"/>
      <c r="M30" s="69"/>
      <c r="N30" s="221" t="s">
        <v>52</v>
      </c>
      <c r="O30" s="221" t="s">
        <v>28</v>
      </c>
      <c r="P30" s="60"/>
      <c r="Q30" s="143"/>
    </row>
    <row r="31" spans="2:17" ht="15" thickBot="1" x14ac:dyDescent="0.4">
      <c r="B31" s="200"/>
      <c r="C31" s="219"/>
      <c r="D31" s="220"/>
      <c r="E31" s="220"/>
      <c r="F31" s="221"/>
      <c r="G31" s="220"/>
      <c r="H31" s="220"/>
      <c r="I31" s="222"/>
      <c r="J31" s="223"/>
      <c r="K31" s="201"/>
      <c r="L31" s="68"/>
      <c r="M31" s="69"/>
      <c r="N31" s="221" t="s">
        <v>126</v>
      </c>
      <c r="O31" s="221" t="s">
        <v>28</v>
      </c>
      <c r="P31" s="60"/>
      <c r="Q31" s="143"/>
    </row>
    <row r="32" spans="2:17" ht="15" thickBot="1" x14ac:dyDescent="0.4">
      <c r="B32" s="200"/>
      <c r="C32" s="219"/>
      <c r="D32" s="220"/>
      <c r="E32" s="220"/>
      <c r="F32" s="221"/>
      <c r="G32" s="220"/>
      <c r="H32" s="220"/>
      <c r="I32" s="222"/>
      <c r="J32" s="223"/>
      <c r="K32" s="201"/>
      <c r="L32" s="68"/>
      <c r="M32" s="69"/>
      <c r="N32" s="221" t="s">
        <v>127</v>
      </c>
      <c r="O32" s="221" t="s">
        <v>28</v>
      </c>
      <c r="P32" s="60"/>
      <c r="Q32" s="143"/>
    </row>
    <row r="33" spans="2:17" ht="15" thickBot="1" x14ac:dyDescent="0.4">
      <c r="B33" s="200"/>
      <c r="C33" s="219"/>
      <c r="D33" s="220"/>
      <c r="E33" s="220"/>
      <c r="F33" s="221" t="str">
        <f t="shared" si="0"/>
        <v/>
      </c>
      <c r="G33" s="220"/>
      <c r="H33" s="220"/>
      <c r="I33" s="222"/>
      <c r="J33" s="223"/>
      <c r="K33" s="201"/>
      <c r="L33" s="68"/>
      <c r="M33" s="69"/>
      <c r="N33" s="221" t="s">
        <v>128</v>
      </c>
      <c r="O33" s="221" t="s">
        <v>24</v>
      </c>
      <c r="P33" s="60"/>
      <c r="Q33" s="143"/>
    </row>
    <row r="34" spans="2:17" ht="15" thickBot="1" x14ac:dyDescent="0.4">
      <c r="B34" s="200"/>
      <c r="C34" s="219"/>
      <c r="D34" s="220"/>
      <c r="E34" s="220"/>
      <c r="F34" s="221" t="str">
        <f t="shared" si="0"/>
        <v/>
      </c>
      <c r="G34" s="220"/>
      <c r="H34" s="220"/>
      <c r="I34" s="222"/>
      <c r="J34" s="223"/>
      <c r="K34" s="201"/>
      <c r="L34" s="68"/>
      <c r="M34" s="69"/>
      <c r="N34" s="221" t="s">
        <v>129</v>
      </c>
      <c r="O34" s="221" t="s">
        <v>109</v>
      </c>
      <c r="P34" s="60"/>
      <c r="Q34" s="143"/>
    </row>
    <row r="35" spans="2:17" ht="15" thickBot="1" x14ac:dyDescent="0.4">
      <c r="B35" s="200"/>
      <c r="C35" s="219"/>
      <c r="D35" s="220"/>
      <c r="E35" s="220"/>
      <c r="F35" s="221" t="str">
        <f t="shared" si="0"/>
        <v/>
      </c>
      <c r="G35" s="220"/>
      <c r="H35" s="220"/>
      <c r="I35" s="222"/>
      <c r="J35" s="223"/>
      <c r="K35" s="201"/>
      <c r="L35" s="68"/>
      <c r="M35" s="69"/>
      <c r="N35" s="221" t="s">
        <v>130</v>
      </c>
      <c r="O35" s="221" t="s">
        <v>25</v>
      </c>
      <c r="P35" s="60"/>
      <c r="Q35" s="143"/>
    </row>
    <row r="36" spans="2:17" ht="15" thickBot="1" x14ac:dyDescent="0.4">
      <c r="B36" s="200"/>
      <c r="C36" s="219"/>
      <c r="D36" s="220"/>
      <c r="E36" s="220"/>
      <c r="F36" s="221" t="str">
        <f t="shared" si="0"/>
        <v/>
      </c>
      <c r="G36" s="220"/>
      <c r="H36" s="220"/>
      <c r="I36" s="222"/>
      <c r="J36" s="223"/>
      <c r="K36" s="201"/>
      <c r="L36" s="68"/>
      <c r="M36" s="69"/>
      <c r="N36" s="221" t="s">
        <v>29</v>
      </c>
      <c r="O36" s="221" t="s">
        <v>25</v>
      </c>
      <c r="P36" s="60"/>
      <c r="Q36" s="143"/>
    </row>
    <row r="37" spans="2:17" ht="15" thickBot="1" x14ac:dyDescent="0.4">
      <c r="B37" s="200"/>
      <c r="C37" s="219"/>
      <c r="D37" s="220"/>
      <c r="E37" s="220"/>
      <c r="F37" s="221" t="str">
        <f t="shared" si="0"/>
        <v/>
      </c>
      <c r="G37" s="220"/>
      <c r="H37" s="220"/>
      <c r="I37" s="222"/>
      <c r="J37" s="223"/>
      <c r="K37" s="201"/>
      <c r="L37" s="68"/>
      <c r="M37" s="69"/>
      <c r="N37" s="221" t="s">
        <v>131</v>
      </c>
      <c r="O37" s="221" t="s">
        <v>26</v>
      </c>
      <c r="P37" s="60"/>
      <c r="Q37" s="143"/>
    </row>
    <row r="38" spans="2:17" ht="15" thickBot="1" x14ac:dyDescent="0.4">
      <c r="B38" s="200"/>
      <c r="C38" s="219"/>
      <c r="D38" s="220"/>
      <c r="E38" s="220"/>
      <c r="F38" s="221" t="str">
        <f t="shared" si="0"/>
        <v/>
      </c>
      <c r="G38" s="220"/>
      <c r="H38" s="220"/>
      <c r="I38" s="222"/>
      <c r="J38" s="223"/>
      <c r="K38" s="201"/>
      <c r="L38" s="68"/>
      <c r="M38" s="69"/>
      <c r="N38" s="221" t="s">
        <v>30</v>
      </c>
      <c r="O38" s="221" t="s">
        <v>26</v>
      </c>
      <c r="P38" s="60"/>
      <c r="Q38" s="143"/>
    </row>
    <row r="39" spans="2:17" ht="15" thickBot="1" x14ac:dyDescent="0.4">
      <c r="B39" s="200"/>
      <c r="C39" s="219"/>
      <c r="D39" s="220"/>
      <c r="E39" s="220"/>
      <c r="F39" s="221" t="str">
        <f t="shared" si="0"/>
        <v/>
      </c>
      <c r="G39" s="220"/>
      <c r="H39" s="220"/>
      <c r="I39" s="222"/>
      <c r="J39" s="223"/>
      <c r="K39" s="201"/>
      <c r="L39" s="68"/>
      <c r="M39" s="69"/>
      <c r="N39" s="221" t="s">
        <v>31</v>
      </c>
      <c r="O39" s="221" t="s">
        <v>27</v>
      </c>
      <c r="P39" s="60"/>
      <c r="Q39" s="143"/>
    </row>
    <row r="40" spans="2:17" ht="15" thickBot="1" x14ac:dyDescent="0.4">
      <c r="B40" s="200"/>
      <c r="C40" s="219"/>
      <c r="D40" s="220"/>
      <c r="E40" s="220"/>
      <c r="F40" s="221" t="str">
        <f t="shared" si="0"/>
        <v/>
      </c>
      <c r="G40" s="220"/>
      <c r="H40" s="220"/>
      <c r="I40" s="222"/>
      <c r="J40" s="223"/>
      <c r="K40" s="201"/>
      <c r="L40" s="68"/>
      <c r="M40" s="69"/>
      <c r="N40" s="221" t="s">
        <v>132</v>
      </c>
      <c r="O40" s="221" t="s">
        <v>28</v>
      </c>
      <c r="P40" s="60"/>
      <c r="Q40" s="143"/>
    </row>
    <row r="41" spans="2:17" ht="15" thickBot="1" x14ac:dyDescent="0.4">
      <c r="B41" s="200"/>
      <c r="C41" s="219"/>
      <c r="D41" s="220"/>
      <c r="E41" s="220"/>
      <c r="F41" s="221" t="str">
        <f t="shared" si="0"/>
        <v/>
      </c>
      <c r="G41" s="220"/>
      <c r="H41" s="220"/>
      <c r="I41" s="222"/>
      <c r="J41" s="223"/>
      <c r="K41" s="201"/>
      <c r="L41" s="68"/>
      <c r="M41" s="69"/>
      <c r="N41" s="221" t="s">
        <v>133</v>
      </c>
      <c r="O41" s="221" t="s">
        <v>28</v>
      </c>
      <c r="P41" s="60"/>
      <c r="Q41" s="143"/>
    </row>
    <row r="42" spans="2:17" ht="15" thickBot="1" x14ac:dyDescent="0.4">
      <c r="B42" s="200"/>
      <c r="C42" s="219"/>
      <c r="D42" s="220"/>
      <c r="E42" s="220"/>
      <c r="F42" s="221" t="str">
        <f t="shared" si="0"/>
        <v/>
      </c>
      <c r="G42" s="220"/>
      <c r="H42" s="220"/>
      <c r="I42" s="222"/>
      <c r="J42" s="223"/>
      <c r="K42" s="201"/>
      <c r="L42" s="68"/>
      <c r="M42" s="69"/>
      <c r="N42" s="221" t="s">
        <v>134</v>
      </c>
      <c r="O42" s="221" t="s">
        <v>28</v>
      </c>
      <c r="P42" s="60"/>
      <c r="Q42" s="143"/>
    </row>
    <row r="43" spans="2:17" ht="15" thickBot="1" x14ac:dyDescent="0.4">
      <c r="B43" s="200"/>
      <c r="C43" s="219"/>
      <c r="D43" s="220"/>
      <c r="E43" s="220"/>
      <c r="F43" s="221" t="str">
        <f t="shared" si="0"/>
        <v/>
      </c>
      <c r="G43" s="220"/>
      <c r="H43" s="220"/>
      <c r="I43" s="222"/>
      <c r="J43" s="223"/>
      <c r="K43" s="201"/>
      <c r="L43" s="68"/>
      <c r="M43" s="69"/>
      <c r="N43" s="221" t="s">
        <v>132</v>
      </c>
      <c r="O43" s="221" t="s">
        <v>28</v>
      </c>
      <c r="P43" s="60"/>
      <c r="Q43" s="143"/>
    </row>
    <row r="44" spans="2:17" ht="15" thickBot="1" x14ac:dyDescent="0.4">
      <c r="B44" s="200"/>
      <c r="C44" s="219"/>
      <c r="D44" s="220"/>
      <c r="E44" s="220"/>
      <c r="F44" s="221" t="str">
        <f t="shared" si="0"/>
        <v/>
      </c>
      <c r="G44" s="220"/>
      <c r="H44" s="220"/>
      <c r="I44" s="222"/>
      <c r="J44" s="223"/>
      <c r="K44" s="201"/>
      <c r="L44" s="68"/>
      <c r="M44" s="69"/>
      <c r="N44" s="221" t="s">
        <v>133</v>
      </c>
      <c r="O44" s="221" t="s">
        <v>28</v>
      </c>
      <c r="P44" s="60"/>
      <c r="Q44" s="143"/>
    </row>
    <row r="45" spans="2:17" ht="15" thickBot="1" x14ac:dyDescent="0.4">
      <c r="B45" s="200"/>
      <c r="C45" s="219"/>
      <c r="D45" s="220"/>
      <c r="E45" s="220"/>
      <c r="F45" s="221" t="str">
        <f t="shared" si="0"/>
        <v/>
      </c>
      <c r="G45" s="220"/>
      <c r="H45" s="220"/>
      <c r="I45" s="222"/>
      <c r="J45" s="223"/>
      <c r="K45" s="201"/>
      <c r="L45" s="68"/>
      <c r="M45" s="69"/>
      <c r="N45" s="221" t="s">
        <v>134</v>
      </c>
      <c r="O45" s="221" t="s">
        <v>28</v>
      </c>
      <c r="P45" s="60"/>
      <c r="Q45" s="143"/>
    </row>
    <row r="46" spans="2:17" ht="15" thickBot="1" x14ac:dyDescent="0.4">
      <c r="B46" s="200"/>
      <c r="C46" s="219"/>
      <c r="D46" s="220"/>
      <c r="E46" s="220"/>
      <c r="F46" s="221" t="str">
        <f t="shared" si="0"/>
        <v/>
      </c>
      <c r="G46" s="220"/>
      <c r="H46" s="220"/>
      <c r="I46" s="222"/>
      <c r="J46" s="223"/>
      <c r="K46" s="201"/>
      <c r="L46" s="68"/>
      <c r="M46" s="69"/>
      <c r="N46" s="221"/>
      <c r="O46" s="221"/>
      <c r="P46" s="60"/>
      <c r="Q46" s="143"/>
    </row>
    <row r="47" spans="2:17" ht="15" thickBot="1" x14ac:dyDescent="0.4">
      <c r="B47" s="200"/>
      <c r="C47" s="219"/>
      <c r="D47" s="220"/>
      <c r="E47" s="220"/>
      <c r="F47" s="221" t="str">
        <f t="shared" si="0"/>
        <v/>
      </c>
      <c r="G47" s="220"/>
      <c r="H47" s="220"/>
      <c r="I47" s="222"/>
      <c r="J47" s="223"/>
      <c r="K47" s="201"/>
      <c r="L47" s="68"/>
      <c r="M47" s="69"/>
      <c r="N47" s="221"/>
      <c r="O47" s="221"/>
      <c r="P47" s="60"/>
      <c r="Q47" s="143"/>
    </row>
    <row r="48" spans="2:17" ht="15" thickBot="1" x14ac:dyDescent="0.4">
      <c r="B48" s="200"/>
      <c r="C48" s="219"/>
      <c r="D48" s="220"/>
      <c r="E48" s="220"/>
      <c r="F48" s="221" t="str">
        <f t="shared" si="0"/>
        <v/>
      </c>
      <c r="G48" s="220"/>
      <c r="H48" s="220"/>
      <c r="I48" s="222"/>
      <c r="J48" s="223"/>
      <c r="K48" s="201"/>
      <c r="L48" s="68"/>
      <c r="M48" s="69"/>
      <c r="N48" s="221"/>
      <c r="O48" s="221"/>
      <c r="P48" s="60"/>
      <c r="Q48" s="143"/>
    </row>
    <row r="49" spans="2:17" ht="15" thickBot="1" x14ac:dyDescent="0.4">
      <c r="B49" s="200"/>
      <c r="C49" s="219"/>
      <c r="D49" s="220"/>
      <c r="E49" s="220"/>
      <c r="F49" s="221" t="str">
        <f t="shared" si="0"/>
        <v/>
      </c>
      <c r="G49" s="220"/>
      <c r="H49" s="220"/>
      <c r="I49" s="222"/>
      <c r="J49" s="223"/>
      <c r="K49" s="201"/>
      <c r="L49" s="68"/>
      <c r="M49" s="69"/>
      <c r="N49" s="221"/>
      <c r="O49" s="221"/>
      <c r="P49" s="60"/>
      <c r="Q49" s="143"/>
    </row>
    <row r="50" spans="2:17" ht="15" thickBot="1" x14ac:dyDescent="0.4">
      <c r="B50" s="200"/>
      <c r="C50" s="219"/>
      <c r="D50" s="220"/>
      <c r="E50" s="220"/>
      <c r="F50" s="221" t="str">
        <f t="shared" si="0"/>
        <v/>
      </c>
      <c r="G50" s="220"/>
      <c r="H50" s="220"/>
      <c r="I50" s="222"/>
      <c r="J50" s="223"/>
      <c r="K50" s="201"/>
      <c r="L50" s="68"/>
      <c r="M50" s="69"/>
      <c r="N50" s="221"/>
      <c r="O50" s="221"/>
      <c r="P50" s="60"/>
      <c r="Q50" s="143"/>
    </row>
    <row r="51" spans="2:17" ht="15" thickBot="1" x14ac:dyDescent="0.4">
      <c r="B51" s="200"/>
      <c r="C51" s="219"/>
      <c r="D51" s="220"/>
      <c r="E51" s="220"/>
      <c r="F51" s="221" t="str">
        <f t="shared" si="0"/>
        <v/>
      </c>
      <c r="G51" s="220"/>
      <c r="H51" s="220"/>
      <c r="I51" s="222"/>
      <c r="J51" s="223"/>
      <c r="K51" s="201"/>
      <c r="L51" s="68"/>
      <c r="M51" s="69"/>
      <c r="N51" s="221"/>
      <c r="O51" s="221"/>
      <c r="P51" s="60"/>
      <c r="Q51" s="143"/>
    </row>
    <row r="52" spans="2:17" ht="15" thickBot="1" x14ac:dyDescent="0.4">
      <c r="B52" s="200"/>
      <c r="C52" s="219"/>
      <c r="D52" s="220"/>
      <c r="E52" s="220"/>
      <c r="F52" s="221" t="str">
        <f t="shared" si="0"/>
        <v/>
      </c>
      <c r="G52" s="220"/>
      <c r="H52" s="220"/>
      <c r="I52" s="222"/>
      <c r="J52" s="223"/>
      <c r="K52" s="201"/>
      <c r="L52" s="68"/>
      <c r="M52" s="69"/>
      <c r="N52" s="221"/>
      <c r="O52" s="221"/>
      <c r="P52" s="60"/>
      <c r="Q52" s="143"/>
    </row>
    <row r="53" spans="2:17" ht="15" thickBot="1" x14ac:dyDescent="0.4">
      <c r="B53" s="200"/>
      <c r="C53" s="219"/>
      <c r="D53" s="220"/>
      <c r="E53" s="220"/>
      <c r="F53" s="221" t="str">
        <f t="shared" si="0"/>
        <v/>
      </c>
      <c r="G53" s="220"/>
      <c r="H53" s="220"/>
      <c r="I53" s="222"/>
      <c r="J53" s="223"/>
      <c r="K53" s="201"/>
      <c r="L53" s="68"/>
      <c r="M53" s="69"/>
      <c r="N53" s="221"/>
      <c r="O53" s="221"/>
      <c r="P53" s="60"/>
      <c r="Q53" s="143"/>
    </row>
    <row r="54" spans="2:17" ht="15" thickBot="1" x14ac:dyDescent="0.4">
      <c r="B54" s="200"/>
      <c r="C54" s="219"/>
      <c r="D54" s="220"/>
      <c r="E54" s="220"/>
      <c r="F54" s="221" t="str">
        <f t="shared" si="0"/>
        <v/>
      </c>
      <c r="G54" s="220"/>
      <c r="H54" s="220"/>
      <c r="I54" s="222"/>
      <c r="J54" s="223"/>
      <c r="K54" s="201"/>
      <c r="L54" s="68"/>
      <c r="M54" s="69"/>
      <c r="N54" s="221"/>
      <c r="O54" s="221"/>
      <c r="P54" s="60"/>
      <c r="Q54" s="143"/>
    </row>
    <row r="55" spans="2:17" ht="15" thickBot="1" x14ac:dyDescent="0.4">
      <c r="B55" s="200"/>
      <c r="C55" s="219"/>
      <c r="D55" s="220"/>
      <c r="E55" s="220"/>
      <c r="F55" s="221" t="str">
        <f t="shared" si="0"/>
        <v/>
      </c>
      <c r="G55" s="220"/>
      <c r="H55" s="220"/>
      <c r="I55" s="222"/>
      <c r="J55" s="223"/>
      <c r="K55" s="201"/>
      <c r="L55" s="68"/>
      <c r="M55" s="69"/>
      <c r="N55" s="221"/>
      <c r="O55" s="221"/>
      <c r="P55" s="60"/>
      <c r="Q55" s="143"/>
    </row>
    <row r="56" spans="2:17" ht="15" thickBot="1" x14ac:dyDescent="0.4">
      <c r="B56" s="200"/>
      <c r="C56" s="219"/>
      <c r="D56" s="220"/>
      <c r="E56" s="220"/>
      <c r="F56" s="221" t="str">
        <f t="shared" si="0"/>
        <v/>
      </c>
      <c r="G56" s="220"/>
      <c r="H56" s="220"/>
      <c r="I56" s="222"/>
      <c r="J56" s="223"/>
      <c r="K56" s="201"/>
      <c r="L56" s="68"/>
      <c r="M56" s="69"/>
      <c r="N56" s="221"/>
      <c r="O56" s="221"/>
      <c r="P56" s="60"/>
      <c r="Q56" s="143"/>
    </row>
    <row r="57" spans="2:17" ht="15" thickBot="1" x14ac:dyDescent="0.4">
      <c r="B57" s="200"/>
      <c r="C57" s="219"/>
      <c r="D57" s="220"/>
      <c r="E57" s="220"/>
      <c r="F57" s="221" t="str">
        <f t="shared" si="0"/>
        <v/>
      </c>
      <c r="G57" s="220"/>
      <c r="H57" s="220"/>
      <c r="I57" s="222"/>
      <c r="J57" s="223"/>
      <c r="K57" s="201"/>
      <c r="L57" s="68"/>
      <c r="M57" s="69"/>
      <c r="N57" s="221"/>
      <c r="O57" s="221"/>
      <c r="P57" s="60"/>
      <c r="Q57" s="143"/>
    </row>
    <row r="58" spans="2:17" ht="15" thickBot="1" x14ac:dyDescent="0.4">
      <c r="B58" s="200"/>
      <c r="C58" s="219"/>
      <c r="D58" s="220"/>
      <c r="E58" s="220"/>
      <c r="F58" s="221" t="str">
        <f t="shared" si="0"/>
        <v/>
      </c>
      <c r="G58" s="220"/>
      <c r="H58" s="220"/>
      <c r="I58" s="222"/>
      <c r="J58" s="223"/>
      <c r="K58" s="201"/>
      <c r="L58" s="68"/>
      <c r="M58" s="69"/>
      <c r="N58" s="221"/>
      <c r="O58" s="221"/>
      <c r="P58" s="60"/>
      <c r="Q58" s="143"/>
    </row>
    <row r="59" spans="2:17" ht="15" thickBot="1" x14ac:dyDescent="0.4">
      <c r="B59" s="200"/>
      <c r="C59" s="219"/>
      <c r="D59" s="220"/>
      <c r="E59" s="220"/>
      <c r="F59" s="221" t="str">
        <f t="shared" si="0"/>
        <v/>
      </c>
      <c r="G59" s="220"/>
      <c r="H59" s="220"/>
      <c r="I59" s="222"/>
      <c r="J59" s="223"/>
      <c r="K59" s="201"/>
      <c r="L59" s="68"/>
      <c r="M59" s="69"/>
      <c r="N59" s="221"/>
      <c r="O59" s="221"/>
      <c r="P59" s="60"/>
      <c r="Q59" s="143"/>
    </row>
    <row r="60" spans="2:17" ht="15" thickBot="1" x14ac:dyDescent="0.4">
      <c r="B60" s="200"/>
      <c r="C60" s="219"/>
      <c r="D60" s="220"/>
      <c r="E60" s="220"/>
      <c r="F60" s="221" t="str">
        <f t="shared" si="0"/>
        <v/>
      </c>
      <c r="G60" s="220"/>
      <c r="H60" s="220"/>
      <c r="I60" s="222"/>
      <c r="J60" s="223"/>
      <c r="K60" s="201"/>
      <c r="L60" s="68"/>
      <c r="M60" s="69"/>
      <c r="N60" s="221"/>
      <c r="O60" s="221"/>
      <c r="P60" s="60"/>
      <c r="Q60" s="143"/>
    </row>
    <row r="61" spans="2:17" ht="15" thickBot="1" x14ac:dyDescent="0.4">
      <c r="B61" s="200"/>
      <c r="C61" s="219"/>
      <c r="D61" s="220"/>
      <c r="E61" s="220"/>
      <c r="F61" s="221" t="str">
        <f t="shared" si="0"/>
        <v/>
      </c>
      <c r="G61" s="220"/>
      <c r="H61" s="220"/>
      <c r="I61" s="222"/>
      <c r="J61" s="223"/>
      <c r="K61" s="201"/>
      <c r="L61" s="68"/>
      <c r="M61" s="69"/>
      <c r="N61" s="221"/>
      <c r="O61" s="221"/>
      <c r="P61" s="60"/>
      <c r="Q61" s="143"/>
    </row>
    <row r="62" spans="2:17" ht="15" thickBot="1" x14ac:dyDescent="0.4">
      <c r="B62" s="200"/>
      <c r="C62" s="219"/>
      <c r="D62" s="220"/>
      <c r="E62" s="220"/>
      <c r="F62" s="221" t="str">
        <f t="shared" si="0"/>
        <v/>
      </c>
      <c r="G62" s="220"/>
      <c r="H62" s="220"/>
      <c r="I62" s="222"/>
      <c r="J62" s="223"/>
      <c r="K62" s="201"/>
      <c r="L62" s="68"/>
      <c r="M62" s="69"/>
      <c r="N62" s="221"/>
      <c r="O62" s="221"/>
      <c r="P62" s="60"/>
      <c r="Q62" s="143"/>
    </row>
    <row r="63" spans="2:17" ht="15" thickBot="1" x14ac:dyDescent="0.4">
      <c r="B63" s="200"/>
      <c r="C63" s="219"/>
      <c r="D63" s="220"/>
      <c r="E63" s="220"/>
      <c r="F63" s="221" t="str">
        <f t="shared" si="0"/>
        <v/>
      </c>
      <c r="G63" s="220"/>
      <c r="H63" s="220"/>
      <c r="I63" s="222"/>
      <c r="J63" s="223"/>
      <c r="K63" s="201"/>
      <c r="L63" s="68"/>
      <c r="M63" s="69"/>
      <c r="N63" s="221"/>
      <c r="O63" s="221"/>
      <c r="P63" s="60"/>
      <c r="Q63" s="143"/>
    </row>
    <row r="64" spans="2:17" ht="15" thickBot="1" x14ac:dyDescent="0.4">
      <c r="B64" s="200"/>
      <c r="C64" s="224"/>
      <c r="D64" s="225"/>
      <c r="E64" s="225"/>
      <c r="F64" s="225"/>
      <c r="G64" s="225"/>
      <c r="H64" s="225"/>
      <c r="I64" s="225"/>
      <c r="J64" s="226"/>
      <c r="K64" s="201"/>
      <c r="L64" s="111"/>
      <c r="M64" s="114"/>
      <c r="N64" s="114"/>
      <c r="O64" s="114"/>
      <c r="P64" s="118"/>
      <c r="Q64" s="143"/>
    </row>
    <row r="65" spans="2:17" ht="15" thickBot="1" x14ac:dyDescent="0.4">
      <c r="B65" s="227"/>
      <c r="C65" s="228"/>
      <c r="D65" s="228"/>
      <c r="E65" s="228"/>
      <c r="F65" s="228"/>
      <c r="G65" s="228"/>
      <c r="H65" s="228"/>
      <c r="I65" s="228"/>
      <c r="J65" s="228"/>
      <c r="K65" s="229"/>
      <c r="L65" s="228"/>
      <c r="M65" s="228"/>
      <c r="N65" s="228"/>
      <c r="O65" s="228"/>
      <c r="P65" s="228"/>
      <c r="Q65" s="230"/>
    </row>
  </sheetData>
  <sheetProtection formatColumns="0" formatRows="0" insertRows="0" deleteRows="0" sort="0" autoFilter="0"/>
  <mergeCells count="10">
    <mergeCell ref="R10:U11"/>
    <mergeCell ref="D10:I10"/>
    <mergeCell ref="M10:O11"/>
    <mergeCell ref="D11:I11"/>
    <mergeCell ref="C4:P4"/>
    <mergeCell ref="C5:D5"/>
    <mergeCell ref="E5:N5"/>
    <mergeCell ref="C6:P6"/>
    <mergeCell ref="C8:J8"/>
    <mergeCell ref="L8:P8"/>
  </mergeCells>
  <phoneticPr fontId="15" type="noConversion"/>
  <dataValidations count="1">
    <dataValidation type="list" allowBlank="1" showInputMessage="1" showErrorMessage="1" sqref="E13:E63" xr:uid="{E88BDE01-CEAC-43C6-AEA5-E1C9A9203657}">
      <formula1>Ranks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defaultSize="0" autoLine="0" r:id="rId5">
            <anchor>
              <from>
                <xdr:col>7</xdr:col>
                <xdr:colOff>533400</xdr:colOff>
                <xdr:row>7</xdr:row>
                <xdr:rowOff>31750</xdr:rowOff>
              </from>
              <to>
                <xdr:col>9</xdr:col>
                <xdr:colOff>95250</xdr:colOff>
                <xdr:row>8</xdr:row>
                <xdr:rowOff>0</xdr:rowOff>
              </to>
            </anchor>
          </controlPr>
        </control>
      </mc:Choice>
      <mc:Fallback>
        <control shapeId="9217" r:id="rId4"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3BBBA-C3B7-49F7-99F1-C4AC455CBAB5}">
  <sheetPr codeName="Sheet1"/>
  <dimension ref="A1:Z70"/>
  <sheetViews>
    <sheetView topLeftCell="A13" zoomScale="70" zoomScaleNormal="70" workbookViewId="0">
      <selection activeCell="P35" sqref="P35"/>
    </sheetView>
  </sheetViews>
  <sheetFormatPr defaultColWidth="8.54296875" defaultRowHeight="14.5" x14ac:dyDescent="0.35"/>
  <cols>
    <col min="1" max="1" width="2" customWidth="1"/>
    <col min="2" max="2" width="2.54296875" style="1" customWidth="1"/>
    <col min="3" max="3" width="3.453125" style="1" customWidth="1"/>
    <col min="4" max="4" width="29.54296875" style="1" customWidth="1"/>
    <col min="5" max="5" width="22.81640625" style="1" customWidth="1"/>
    <col min="6" max="8" width="19.453125" style="1" customWidth="1"/>
    <col min="9" max="9" width="24.453125" style="1" customWidth="1"/>
    <col min="10" max="10" width="21.54296875" style="1" customWidth="1"/>
    <col min="11" max="11" width="20.1796875" style="1" customWidth="1"/>
    <col min="12" max="12" width="16.54296875" style="1" bestFit="1" customWidth="1"/>
    <col min="13" max="13" width="18.1796875" style="1" customWidth="1"/>
    <col min="14" max="14" width="14.453125" style="1" customWidth="1"/>
    <col min="15" max="18" width="8.54296875" style="1"/>
    <col min="19" max="20" width="9.54296875" style="1" customWidth="1"/>
    <col min="21" max="24" width="8.54296875" style="1"/>
    <col min="25" max="25" width="3.54296875" style="1" customWidth="1"/>
    <col min="26" max="26" width="3.453125" style="1" customWidth="1"/>
    <col min="27" max="16384" width="8.54296875" style="1"/>
  </cols>
  <sheetData>
    <row r="1" spans="2:26" ht="12" customHeight="1" thickBot="1" x14ac:dyDescent="0.4"/>
    <row r="2" spans="2:26" x14ac:dyDescent="0.35">
      <c r="B2" s="20"/>
      <c r="C2" s="231"/>
      <c r="D2" s="231"/>
      <c r="E2" s="231"/>
      <c r="F2" s="231"/>
      <c r="G2" s="231"/>
      <c r="H2" s="231"/>
      <c r="I2" s="231"/>
      <c r="J2" s="231"/>
      <c r="K2" s="231"/>
      <c r="L2" s="231"/>
      <c r="M2" s="231"/>
      <c r="N2" s="231"/>
      <c r="O2" s="231"/>
      <c r="P2" s="231"/>
      <c r="Q2" s="231"/>
      <c r="R2" s="231"/>
      <c r="S2" s="231"/>
      <c r="T2" s="231"/>
      <c r="U2" s="231"/>
      <c r="V2" s="231"/>
      <c r="W2" s="231"/>
      <c r="X2" s="231"/>
      <c r="Y2" s="231"/>
      <c r="Z2" s="23"/>
    </row>
    <row r="3" spans="2:26" ht="27.65" customHeight="1" x14ac:dyDescent="0.35">
      <c r="B3" s="29"/>
      <c r="C3" s="232" t="s">
        <v>135</v>
      </c>
      <c r="D3" s="44"/>
      <c r="E3" s="44"/>
      <c r="F3" s="44"/>
      <c r="G3" s="44"/>
      <c r="H3" s="44"/>
      <c r="I3" s="44"/>
      <c r="J3" s="44"/>
      <c r="K3" s="44"/>
      <c r="L3" s="44"/>
      <c r="M3" s="44"/>
      <c r="N3" s="44"/>
      <c r="O3" s="44"/>
      <c r="P3" s="44"/>
      <c r="Q3" s="44"/>
      <c r="R3" s="44"/>
      <c r="S3" s="44"/>
      <c r="T3" s="44"/>
      <c r="U3" s="44"/>
      <c r="V3" s="44"/>
      <c r="W3" s="44"/>
      <c r="X3" s="45"/>
      <c r="Y3" s="49"/>
      <c r="Z3" s="26"/>
    </row>
    <row r="4" spans="2:26" x14ac:dyDescent="0.35">
      <c r="B4" s="29"/>
      <c r="C4" s="50"/>
      <c r="D4" s="233"/>
      <c r="E4" s="233"/>
      <c r="F4" s="233"/>
      <c r="G4" s="233"/>
      <c r="H4" s="233"/>
      <c r="I4" s="233"/>
      <c r="J4" s="233"/>
      <c r="K4" s="233"/>
      <c r="L4" s="233"/>
      <c r="M4" s="233"/>
      <c r="N4" s="233"/>
      <c r="O4" s="233"/>
      <c r="P4" s="233"/>
      <c r="Q4" s="233"/>
      <c r="R4" s="233"/>
      <c r="S4" s="233"/>
      <c r="T4" s="233"/>
      <c r="U4" s="233"/>
      <c r="V4" s="233"/>
      <c r="W4" s="233"/>
      <c r="X4" s="234"/>
      <c r="Y4" s="56"/>
      <c r="Z4" s="26"/>
    </row>
    <row r="5" spans="2:26" x14ac:dyDescent="0.35">
      <c r="B5" s="29"/>
      <c r="C5" s="205"/>
      <c r="D5" s="235"/>
      <c r="Y5" s="75"/>
      <c r="Z5" s="26"/>
    </row>
    <row r="6" spans="2:26" x14ac:dyDescent="0.35">
      <c r="B6" s="29"/>
      <c r="C6" s="236"/>
      <c r="D6" s="237" t="s">
        <v>136</v>
      </c>
      <c r="E6" s="47"/>
      <c r="F6" s="47"/>
      <c r="G6" s="47"/>
      <c r="H6" s="47"/>
      <c r="I6" s="238"/>
      <c r="K6" s="426" t="s">
        <v>137</v>
      </c>
      <c r="L6" s="427"/>
      <c r="M6" s="428"/>
      <c r="Y6" s="75"/>
      <c r="Z6" s="26"/>
    </row>
    <row r="7" spans="2:26" x14ac:dyDescent="0.35">
      <c r="B7" s="29"/>
      <c r="C7" s="205"/>
      <c r="D7" s="235"/>
      <c r="E7" s="239" t="s">
        <v>138</v>
      </c>
      <c r="F7" s="239" t="s">
        <v>139</v>
      </c>
      <c r="G7" s="240" t="s">
        <v>140</v>
      </c>
      <c r="H7" s="429" t="s">
        <v>141</v>
      </c>
      <c r="I7" s="430"/>
      <c r="K7" s="431" t="s">
        <v>94</v>
      </c>
      <c r="L7" s="431" t="s">
        <v>142</v>
      </c>
      <c r="M7" s="431" t="s">
        <v>62</v>
      </c>
      <c r="Z7" s="26"/>
    </row>
    <row r="8" spans="2:26" s="62" customFormat="1" ht="14.9" customHeight="1" x14ac:dyDescent="0.35">
      <c r="B8" s="241"/>
      <c r="C8" s="242"/>
      <c r="D8" s="243" t="s">
        <v>143</v>
      </c>
      <c r="E8" s="244">
        <f>SUM(M31:M405)</f>
        <v>264</v>
      </c>
      <c r="F8" s="244">
        <f>SUM(M9:M16)</f>
        <v>264</v>
      </c>
      <c r="G8" s="245">
        <f>E8-F8</f>
        <v>0</v>
      </c>
      <c r="H8" s="433"/>
      <c r="I8" s="434"/>
      <c r="J8" s="1"/>
      <c r="K8" s="432"/>
      <c r="L8" s="432"/>
      <c r="M8" s="432"/>
      <c r="N8" s="1"/>
      <c r="O8" s="1"/>
      <c r="P8" s="1"/>
      <c r="Q8" s="1"/>
      <c r="R8" s="1"/>
      <c r="S8" s="1"/>
      <c r="T8" s="1"/>
      <c r="U8" s="1"/>
      <c r="V8" s="1"/>
      <c r="W8" s="1"/>
      <c r="X8" s="1"/>
      <c r="Z8" s="246"/>
    </row>
    <row r="9" spans="2:26" x14ac:dyDescent="0.35">
      <c r="B9" s="29"/>
      <c r="C9" s="68"/>
      <c r="D9" s="243" t="s">
        <v>144</v>
      </c>
      <c r="E9" s="247">
        <f>SUMIF(F31:F405,"GDS *",M31:M405)/E8</f>
        <v>0.34090909090909088</v>
      </c>
      <c r="F9" s="247">
        <f>SUM(M14:M16)/F8</f>
        <v>0.34090909090909088</v>
      </c>
      <c r="G9" s="248">
        <f>E9-F9</f>
        <v>0</v>
      </c>
      <c r="H9" s="433"/>
      <c r="I9" s="434"/>
      <c r="K9" s="341" t="s">
        <v>24</v>
      </c>
      <c r="L9" s="342">
        <f>M9/$F$8</f>
        <v>4.5454545454545456E-2</v>
      </c>
      <c r="M9" s="343">
        <f>'Project Plan - Self '!H39</f>
        <v>12</v>
      </c>
      <c r="Z9" s="26"/>
    </row>
    <row r="10" spans="2:26" x14ac:dyDescent="0.35">
      <c r="B10" s="29"/>
      <c r="C10" s="68"/>
      <c r="D10" s="251" t="s">
        <v>145</v>
      </c>
      <c r="E10" s="252"/>
      <c r="F10" s="252"/>
      <c r="G10" s="252"/>
      <c r="H10" s="435"/>
      <c r="I10" s="436"/>
      <c r="K10" s="341" t="s">
        <v>25</v>
      </c>
      <c r="L10" s="342">
        <f t="shared" ref="L10:L16" si="0">M10/$F$8</f>
        <v>0.27272727272727271</v>
      </c>
      <c r="M10" s="343">
        <f>'Project Plan - Self '!I39+'Project Plan - Self '!J39</f>
        <v>72</v>
      </c>
      <c r="Z10" s="26"/>
    </row>
    <row r="11" spans="2:26" x14ac:dyDescent="0.35">
      <c r="B11" s="29"/>
      <c r="C11" s="68"/>
      <c r="D11" s="253" t="s">
        <v>24</v>
      </c>
      <c r="E11" s="247">
        <f>SUMIF($G$31:$G$405,D11,$L$31:$L$405)</f>
        <v>4.5454545454545456E-2</v>
      </c>
      <c r="F11" s="247">
        <f>L9</f>
        <v>4.5454545454545456E-2</v>
      </c>
      <c r="G11" s="248">
        <f t="shared" ref="G11:G16" si="1">E11-F11</f>
        <v>0</v>
      </c>
      <c r="H11" s="433"/>
      <c r="I11" s="434"/>
      <c r="K11" s="341" t="s">
        <v>26</v>
      </c>
      <c r="L11" s="342">
        <f t="shared" si="0"/>
        <v>0.34090909090909088</v>
      </c>
      <c r="M11" s="343">
        <f>'Project Plan - Self '!K39</f>
        <v>90</v>
      </c>
      <c r="Z11" s="26"/>
    </row>
    <row r="12" spans="2:26" x14ac:dyDescent="0.35">
      <c r="B12" s="29"/>
      <c r="C12" s="68"/>
      <c r="D12" s="253" t="s">
        <v>109</v>
      </c>
      <c r="E12" s="247">
        <f t="shared" ref="E12:E16" si="2">SUMIF($G$31:$G$405,D12,$L$31:$L$405)</f>
        <v>0</v>
      </c>
      <c r="F12" s="247">
        <f>0%</f>
        <v>0</v>
      </c>
      <c r="G12" s="248">
        <f t="shared" si="1"/>
        <v>0</v>
      </c>
      <c r="H12" s="433"/>
      <c r="I12" s="434"/>
      <c r="K12" s="341" t="s">
        <v>27</v>
      </c>
      <c r="L12" s="342">
        <f t="shared" si="0"/>
        <v>0</v>
      </c>
      <c r="M12" s="343">
        <f>'Project Plan - Self '!L39</f>
        <v>0</v>
      </c>
      <c r="Z12" s="26"/>
    </row>
    <row r="13" spans="2:26" x14ac:dyDescent="0.35">
      <c r="B13" s="29"/>
      <c r="C13" s="68"/>
      <c r="D13" s="253" t="s">
        <v>25</v>
      </c>
      <c r="E13" s="247">
        <f t="shared" si="2"/>
        <v>0.27272727272727271</v>
      </c>
      <c r="F13" s="247">
        <f>L10+L14</f>
        <v>0.27272727272727271</v>
      </c>
      <c r="G13" s="248">
        <f t="shared" si="1"/>
        <v>0</v>
      </c>
      <c r="H13" s="433"/>
      <c r="I13" s="434"/>
      <c r="K13" s="341" t="s">
        <v>28</v>
      </c>
      <c r="L13" s="342">
        <f t="shared" si="0"/>
        <v>0</v>
      </c>
      <c r="M13" s="343">
        <f>'Project Plan - Self '!M39</f>
        <v>0</v>
      </c>
      <c r="Z13" s="26"/>
    </row>
    <row r="14" spans="2:26" x14ac:dyDescent="0.35">
      <c r="B14" s="29"/>
      <c r="C14" s="68"/>
      <c r="D14" s="253" t="s">
        <v>26</v>
      </c>
      <c r="E14" s="247">
        <f t="shared" si="2"/>
        <v>0.68181818181818177</v>
      </c>
      <c r="F14" s="247">
        <f>L11+L15</f>
        <v>0.68181818181818177</v>
      </c>
      <c r="G14" s="248">
        <f t="shared" si="1"/>
        <v>0</v>
      </c>
      <c r="H14" s="433"/>
      <c r="I14" s="434"/>
      <c r="K14" s="341" t="s">
        <v>29</v>
      </c>
      <c r="L14" s="342">
        <f t="shared" si="0"/>
        <v>0</v>
      </c>
      <c r="M14" s="343">
        <f>'Project Plan - Self '!N39</f>
        <v>0</v>
      </c>
      <c r="Z14" s="26"/>
    </row>
    <row r="15" spans="2:26" x14ac:dyDescent="0.35">
      <c r="B15" s="29"/>
      <c r="C15" s="68"/>
      <c r="D15" s="253" t="s">
        <v>27</v>
      </c>
      <c r="E15" s="247">
        <f t="shared" si="2"/>
        <v>0</v>
      </c>
      <c r="F15" s="247">
        <f>L12+L16</f>
        <v>0</v>
      </c>
      <c r="G15" s="248">
        <f t="shared" si="1"/>
        <v>0</v>
      </c>
      <c r="H15" s="433"/>
      <c r="I15" s="434"/>
      <c r="J15" s="254"/>
      <c r="K15" s="341" t="s">
        <v>30</v>
      </c>
      <c r="L15" s="342">
        <f t="shared" si="0"/>
        <v>0.34090909090909088</v>
      </c>
      <c r="M15" s="343">
        <f>'Project Plan - Self '!O39</f>
        <v>90</v>
      </c>
      <c r="N15" s="256"/>
      <c r="O15" s="185"/>
      <c r="X15"/>
      <c r="Z15" s="26"/>
    </row>
    <row r="16" spans="2:26" x14ac:dyDescent="0.35">
      <c r="B16" s="29"/>
      <c r="C16" s="68"/>
      <c r="D16" s="253" t="s">
        <v>28</v>
      </c>
      <c r="E16" s="247">
        <f t="shared" si="2"/>
        <v>0</v>
      </c>
      <c r="F16" s="247">
        <f>L13</f>
        <v>0</v>
      </c>
      <c r="G16" s="248">
        <f t="shared" si="1"/>
        <v>0</v>
      </c>
      <c r="H16" s="433"/>
      <c r="I16" s="434"/>
      <c r="J16" s="254"/>
      <c r="K16" s="341" t="s">
        <v>31</v>
      </c>
      <c r="L16" s="342">
        <f t="shared" si="0"/>
        <v>0</v>
      </c>
      <c r="M16" s="343">
        <f>'Project Plan - Self '!P39</f>
        <v>0</v>
      </c>
      <c r="N16" s="185"/>
      <c r="X16" s="74"/>
      <c r="Y16" s="60"/>
      <c r="Z16" s="26"/>
    </row>
    <row r="17" spans="2:26" x14ac:dyDescent="0.35">
      <c r="B17" s="29"/>
      <c r="C17" s="111"/>
      <c r="D17" s="113"/>
      <c r="E17" s="113"/>
      <c r="F17" s="113"/>
      <c r="G17" s="113"/>
      <c r="H17" s="113"/>
      <c r="I17" s="113"/>
      <c r="O17" s="113"/>
      <c r="P17" s="113"/>
      <c r="Q17" s="113"/>
      <c r="R17" s="113"/>
      <c r="S17" s="113"/>
      <c r="T17" s="113"/>
      <c r="U17" s="113"/>
      <c r="V17" s="113"/>
      <c r="W17" s="113"/>
      <c r="X17" s="115"/>
      <c r="Y17" s="118"/>
      <c r="Z17" s="26"/>
    </row>
    <row r="18" spans="2:26" x14ac:dyDescent="0.35">
      <c r="B18" s="25"/>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26"/>
    </row>
    <row r="19" spans="2:26" x14ac:dyDescent="0.35">
      <c r="B19" s="29"/>
      <c r="C19" s="437" t="s">
        <v>146</v>
      </c>
      <c r="D19" s="438"/>
      <c r="E19" s="438"/>
      <c r="F19" s="438"/>
      <c r="G19" s="438"/>
      <c r="H19" s="438"/>
      <c r="I19" s="438"/>
      <c r="J19" s="438"/>
      <c r="K19" s="438"/>
      <c r="L19" s="438"/>
      <c r="M19" s="438"/>
      <c r="N19" s="438"/>
      <c r="O19" s="438"/>
      <c r="P19" s="438"/>
      <c r="Q19" s="438"/>
      <c r="R19" s="438"/>
      <c r="S19" s="438"/>
      <c r="T19" s="438"/>
      <c r="U19" s="438"/>
      <c r="V19" s="438"/>
      <c r="W19" s="438"/>
      <c r="X19" s="438"/>
      <c r="Y19" s="439"/>
      <c r="Z19" s="26"/>
    </row>
    <row r="20" spans="2:26" x14ac:dyDescent="0.35">
      <c r="B20" s="29"/>
      <c r="C20" s="440"/>
      <c r="D20" s="441"/>
      <c r="E20" s="441"/>
      <c r="F20" s="441"/>
      <c r="G20" s="441"/>
      <c r="H20" s="441"/>
      <c r="I20" s="441"/>
      <c r="J20" s="441"/>
      <c r="K20" s="441"/>
      <c r="L20" s="441"/>
      <c r="M20" s="441"/>
      <c r="N20" s="441"/>
      <c r="O20" s="441"/>
      <c r="P20" s="441"/>
      <c r="Q20" s="441"/>
      <c r="R20" s="441"/>
      <c r="S20" s="441"/>
      <c r="T20" s="441"/>
      <c r="U20" s="441"/>
      <c r="V20" s="441"/>
      <c r="W20" s="441"/>
      <c r="X20" s="441"/>
      <c r="Y20" s="442"/>
      <c r="Z20" s="26"/>
    </row>
    <row r="21" spans="2:26" ht="26.15" customHeight="1" x14ac:dyDescent="0.35">
      <c r="B21" s="29"/>
      <c r="C21" s="443" t="s">
        <v>147</v>
      </c>
      <c r="D21" s="444"/>
      <c r="E21" s="444"/>
      <c r="F21" s="444"/>
      <c r="G21" s="444"/>
      <c r="H21" s="444"/>
      <c r="I21" s="444"/>
      <c r="J21" s="444"/>
      <c r="K21" s="444"/>
      <c r="L21" s="257"/>
      <c r="M21" s="257"/>
      <c r="N21" s="257"/>
      <c r="O21" s="257"/>
      <c r="P21" s="257"/>
      <c r="Q21" s="257"/>
      <c r="R21" s="257"/>
      <c r="S21" s="257"/>
      <c r="T21" s="257"/>
      <c r="U21" s="257"/>
      <c r="V21" s="257"/>
      <c r="W21" s="257"/>
      <c r="X21" s="257"/>
      <c r="Y21" s="258"/>
      <c r="Z21" s="26"/>
    </row>
    <row r="22" spans="2:26" ht="26.15" customHeight="1" x14ac:dyDescent="0.35">
      <c r="B22" s="29"/>
      <c r="C22" s="445"/>
      <c r="D22" s="446"/>
      <c r="E22" s="446"/>
      <c r="F22" s="446"/>
      <c r="G22" s="446"/>
      <c r="H22" s="446"/>
      <c r="I22" s="446"/>
      <c r="J22" s="446"/>
      <c r="K22" s="446"/>
      <c r="L22" s="255"/>
      <c r="M22" s="255"/>
      <c r="N22" s="255"/>
      <c r="O22" s="255"/>
      <c r="P22" s="255"/>
      <c r="Q22" s="255"/>
      <c r="R22" s="255"/>
      <c r="S22" s="255"/>
      <c r="T22" s="255"/>
      <c r="U22" s="255"/>
      <c r="V22" s="255"/>
      <c r="W22" s="255"/>
      <c r="X22" s="255"/>
      <c r="Y22" s="259"/>
      <c r="Z22" s="26"/>
    </row>
    <row r="23" spans="2:26" ht="29.5" customHeight="1" x14ac:dyDescent="0.35">
      <c r="B23" s="29"/>
      <c r="C23" s="260"/>
      <c r="D23" s="394" t="s">
        <v>148</v>
      </c>
      <c r="E23" s="396"/>
      <c r="F23" s="261"/>
      <c r="G23" s="344" t="s">
        <v>149</v>
      </c>
      <c r="H23" s="345"/>
      <c r="I23" s="346" t="s">
        <v>150</v>
      </c>
      <c r="J23" s="346" t="s">
        <v>151</v>
      </c>
      <c r="K23" s="262"/>
      <c r="L23" s="262"/>
      <c r="M23" s="262"/>
      <c r="N23" s="262"/>
      <c r="O23" s="262"/>
      <c r="P23" s="262"/>
      <c r="Q23" s="262"/>
      <c r="R23" s="262"/>
      <c r="S23" s="262"/>
      <c r="T23" s="262"/>
      <c r="U23" s="262"/>
      <c r="V23" s="262"/>
      <c r="W23" s="262"/>
      <c r="X23" s="262"/>
      <c r="Y23" s="259"/>
      <c r="Z23" s="26"/>
    </row>
    <row r="24" spans="2:26" ht="14.9" customHeight="1" x14ac:dyDescent="0.35">
      <c r="B24" s="29"/>
      <c r="C24" s="263"/>
      <c r="D24" s="264" t="s">
        <v>152</v>
      </c>
      <c r="E24" s="265">
        <v>0.55000000000000004</v>
      </c>
      <c r="F24" s="266"/>
      <c r="G24" s="447" t="s">
        <v>153</v>
      </c>
      <c r="H24" s="448"/>
      <c r="I24" s="267">
        <f>I25/(1-E24)</f>
        <v>70213.333333333343</v>
      </c>
      <c r="J24" s="267">
        <f>J25/(1-E24)</f>
        <v>70213.333333333343</v>
      </c>
      <c r="K24" s="449"/>
      <c r="L24" s="449"/>
      <c r="M24" s="449"/>
      <c r="N24" s="449"/>
      <c r="O24" s="449"/>
      <c r="P24" s="255"/>
      <c r="Q24" s="450"/>
      <c r="R24" s="450"/>
      <c r="S24" s="268"/>
      <c r="T24" s="268"/>
      <c r="U24" s="269"/>
      <c r="V24" s="449"/>
      <c r="W24" s="449"/>
      <c r="X24" s="449"/>
      <c r="Y24" s="270"/>
      <c r="Z24" s="26"/>
    </row>
    <row r="25" spans="2:26" ht="14.9" customHeight="1" x14ac:dyDescent="0.35">
      <c r="B25" s="29"/>
      <c r="C25" s="263"/>
      <c r="D25" s="264" t="s">
        <v>154</v>
      </c>
      <c r="E25" s="265">
        <v>0.1</v>
      </c>
      <c r="F25" s="266"/>
      <c r="G25" s="451" t="s">
        <v>155</v>
      </c>
      <c r="H25" s="452"/>
      <c r="I25" s="271">
        <f>SUM(K31:K38)</f>
        <v>31596</v>
      </c>
      <c r="J25" s="271">
        <f>'Project Plan - Self '!F39</f>
        <v>31596</v>
      </c>
      <c r="K25" s="449"/>
      <c r="L25" s="449"/>
      <c r="M25" s="449"/>
      <c r="N25" s="449"/>
      <c r="O25" s="449"/>
      <c r="P25" s="255"/>
      <c r="Q25" s="453"/>
      <c r="R25" s="453"/>
      <c r="S25" s="272"/>
      <c r="T25" s="273"/>
      <c r="U25" s="273"/>
      <c r="V25" s="454"/>
      <c r="W25" s="454"/>
      <c r="X25" s="454"/>
      <c r="Y25" s="270"/>
      <c r="Z25" s="26"/>
    </row>
    <row r="26" spans="2:26" ht="14.9" customHeight="1" x14ac:dyDescent="0.35">
      <c r="B26" s="29"/>
      <c r="C26" s="263"/>
      <c r="D26" s="274"/>
      <c r="E26" s="275"/>
      <c r="F26" s="276"/>
      <c r="G26" s="451" t="s">
        <v>156</v>
      </c>
      <c r="H26" s="452"/>
      <c r="I26" s="267">
        <f>I24-I25</f>
        <v>38617.333333333343</v>
      </c>
      <c r="J26" s="267">
        <f>J24-J25</f>
        <v>38617.333333333343</v>
      </c>
      <c r="K26" s="272"/>
      <c r="L26" s="454"/>
      <c r="M26" s="454"/>
      <c r="N26" s="454"/>
      <c r="O26" s="454"/>
      <c r="P26" s="255"/>
      <c r="Q26" s="453"/>
      <c r="R26" s="453"/>
      <c r="S26" s="272"/>
      <c r="T26" s="273"/>
      <c r="U26" s="273"/>
      <c r="V26" s="454"/>
      <c r="W26" s="454"/>
      <c r="X26" s="454"/>
      <c r="Y26" s="270"/>
      <c r="Z26" s="26"/>
    </row>
    <row r="27" spans="2:26" ht="14.9" customHeight="1" x14ac:dyDescent="0.35">
      <c r="B27" s="29"/>
      <c r="C27" s="263"/>
      <c r="D27" s="390"/>
      <c r="E27" s="390"/>
      <c r="F27" s="455"/>
      <c r="G27" s="451" t="s">
        <v>157</v>
      </c>
      <c r="H27" s="452"/>
      <c r="I27" s="271">
        <f>I24*E25</f>
        <v>7021.3333333333348</v>
      </c>
      <c r="J27" s="271">
        <f>I24*E25</f>
        <v>7021.3333333333348</v>
      </c>
      <c r="K27" s="273"/>
      <c r="L27" s="454"/>
      <c r="M27" s="454"/>
      <c r="N27" s="454"/>
      <c r="O27" s="454"/>
      <c r="P27" s="255"/>
      <c r="Q27" s="453"/>
      <c r="R27" s="453"/>
      <c r="S27" s="272"/>
      <c r="T27" s="273"/>
      <c r="U27" s="273"/>
      <c r="V27" s="454"/>
      <c r="W27" s="454"/>
      <c r="X27" s="454"/>
      <c r="Y27" s="270"/>
      <c r="Z27" s="26"/>
    </row>
    <row r="28" spans="2:26" ht="14.9" customHeight="1" x14ac:dyDescent="0.35">
      <c r="B28" s="29"/>
      <c r="C28" s="263"/>
      <c r="D28" s="268"/>
      <c r="E28" s="272"/>
      <c r="F28" s="455"/>
      <c r="G28" s="456" t="s">
        <v>158</v>
      </c>
      <c r="H28" s="457"/>
      <c r="I28" s="277">
        <f>I24+I27</f>
        <v>77234.666666666672</v>
      </c>
      <c r="J28" s="277">
        <f>J24+J27</f>
        <v>77234.666666666672</v>
      </c>
      <c r="K28" s="278"/>
      <c r="L28" s="255"/>
      <c r="M28" s="255"/>
      <c r="N28" s="255"/>
      <c r="O28" s="255"/>
      <c r="P28" s="255"/>
      <c r="Q28" s="453"/>
      <c r="R28" s="453"/>
      <c r="S28" s="272"/>
      <c r="T28" s="273"/>
      <c r="U28" s="273"/>
      <c r="V28" s="454"/>
      <c r="W28" s="454"/>
      <c r="X28" s="454"/>
      <c r="Y28" s="270"/>
      <c r="Z28" s="26"/>
    </row>
    <row r="29" spans="2:26" x14ac:dyDescent="0.35">
      <c r="B29" s="29"/>
      <c r="C29" s="263"/>
      <c r="D29" s="268"/>
      <c r="E29" s="272"/>
      <c r="F29" s="272"/>
      <c r="G29" s="255"/>
      <c r="H29" s="255"/>
      <c r="I29" s="255"/>
      <c r="J29" s="255"/>
      <c r="K29" s="255"/>
      <c r="L29" s="255"/>
      <c r="M29" s="255"/>
      <c r="N29" s="255"/>
      <c r="O29" s="255"/>
      <c r="P29" s="255"/>
      <c r="Q29" s="279"/>
      <c r="R29" s="255"/>
      <c r="S29" s="255"/>
      <c r="T29" s="255"/>
      <c r="U29" s="255"/>
      <c r="V29" s="255"/>
      <c r="W29" s="255"/>
      <c r="X29" s="255"/>
      <c r="Y29" s="270"/>
      <c r="Z29" s="26"/>
    </row>
    <row r="30" spans="2:26" s="285" customFormat="1" x14ac:dyDescent="0.35">
      <c r="B30" s="280"/>
      <c r="C30" s="281"/>
      <c r="D30" s="264" t="s">
        <v>93</v>
      </c>
      <c r="E30" s="264" t="s">
        <v>159</v>
      </c>
      <c r="F30" s="264" t="s">
        <v>94</v>
      </c>
      <c r="G30" s="264" t="s">
        <v>160</v>
      </c>
      <c r="H30" s="264" t="s">
        <v>161</v>
      </c>
      <c r="I30" s="264" t="s">
        <v>162</v>
      </c>
      <c r="J30" s="264" t="s">
        <v>163</v>
      </c>
      <c r="K30" s="264" t="s">
        <v>155</v>
      </c>
      <c r="L30" s="264" t="s">
        <v>164</v>
      </c>
      <c r="M30" s="264" t="s">
        <v>143</v>
      </c>
      <c r="N30" s="282" t="s">
        <v>165</v>
      </c>
      <c r="O30" s="282" t="s">
        <v>166</v>
      </c>
      <c r="P30" s="282" t="s">
        <v>167</v>
      </c>
      <c r="Q30" s="282" t="s">
        <v>168</v>
      </c>
      <c r="R30" s="282" t="s">
        <v>169</v>
      </c>
      <c r="S30" s="282" t="s">
        <v>170</v>
      </c>
      <c r="T30" s="282" t="s">
        <v>171</v>
      </c>
      <c r="U30" s="282" t="s">
        <v>172</v>
      </c>
      <c r="V30" s="282" t="s">
        <v>173</v>
      </c>
      <c r="W30" s="282" t="s">
        <v>174</v>
      </c>
      <c r="X30" s="282" t="s">
        <v>175</v>
      </c>
      <c r="Y30" s="283"/>
      <c r="Z30" s="284"/>
    </row>
    <row r="31" spans="2:26" x14ac:dyDescent="0.35">
      <c r="B31" s="29"/>
      <c r="C31" s="68"/>
      <c r="D31" s="286" t="s">
        <v>100</v>
      </c>
      <c r="E31" s="286" t="s">
        <v>102</v>
      </c>
      <c r="F31" s="221" t="str">
        <f t="shared" ref="F31:F38" si="3">IF(D31=0,"",VLOOKUP(D31,Resources,2,FALSE))</f>
        <v>Partner 1</v>
      </c>
      <c r="G31" s="221" t="str">
        <f t="shared" ref="G31:G38" si="4">IF(D31=0,"",VLOOKUP(D31,Resources,3,FALSE))</f>
        <v>Partner</v>
      </c>
      <c r="H31" s="221" t="str">
        <f t="shared" ref="H31:H38" si="5">IF(D31=0,"",VLOOKUP(D31,Resources,4,FALSE))</f>
        <v>United States</v>
      </c>
      <c r="I31" s="221" t="str">
        <f t="shared" ref="I31:I38" si="6">IF(D31=0,"",VLOOKUP(D31,Resources,5,FALSE))</f>
        <v>Supply Chain</v>
      </c>
      <c r="J31" s="287">
        <f t="shared" ref="J31:J38" si="7">IF(D31=0,"",VLOOKUP(D31,Resources,6,FALSE))</f>
        <v>617</v>
      </c>
      <c r="K31" s="287">
        <f t="shared" ref="K31:K36" si="8">IF(AND(M31&lt;&gt;"",J31&lt;&gt;""),M31*J31,"")</f>
        <v>7404</v>
      </c>
      <c r="L31" s="288">
        <f>M31/(SUM($M$31:$M$40))</f>
        <v>4.5454545454545456E-2</v>
      </c>
      <c r="M31" s="289">
        <f>SUM(N31:U31)</f>
        <v>12</v>
      </c>
      <c r="N31" s="249">
        <v>0</v>
      </c>
      <c r="O31" s="249">
        <v>0</v>
      </c>
      <c r="P31" s="250">
        <v>6</v>
      </c>
      <c r="Q31" s="250">
        <v>6</v>
      </c>
      <c r="R31" s="250"/>
      <c r="S31" s="250"/>
      <c r="T31" s="250"/>
      <c r="U31" s="250"/>
      <c r="V31" s="249"/>
      <c r="W31" s="249"/>
      <c r="X31" s="249"/>
      <c r="Y31" s="60"/>
      <c r="Z31" s="26"/>
    </row>
    <row r="32" spans="2:26" x14ac:dyDescent="0.35">
      <c r="B32" s="29"/>
      <c r="C32" s="68"/>
      <c r="D32" s="286" t="s">
        <v>103</v>
      </c>
      <c r="E32" s="286" t="s">
        <v>102</v>
      </c>
      <c r="F32" s="221" t="str">
        <f t="shared" si="3"/>
        <v>Senior Manager 1</v>
      </c>
      <c r="G32" s="221" t="str">
        <f t="shared" si="4"/>
        <v>Senior Manager</v>
      </c>
      <c r="H32" s="221" t="str">
        <f t="shared" si="5"/>
        <v>United States</v>
      </c>
      <c r="I32" s="221" t="str">
        <f t="shared" si="6"/>
        <v>Supply Chain</v>
      </c>
      <c r="J32" s="287">
        <f t="shared" si="7"/>
        <v>171</v>
      </c>
      <c r="K32" s="287">
        <f t="shared" si="8"/>
        <v>1368</v>
      </c>
      <c r="L32" s="288">
        <f>M32/(SUM($M$31:$M$40))</f>
        <v>3.0303030303030304E-2</v>
      </c>
      <c r="M32" s="289">
        <f>SUM(N32:U32)</f>
        <v>8</v>
      </c>
      <c r="N32" s="249">
        <v>0</v>
      </c>
      <c r="O32" s="249">
        <v>0</v>
      </c>
      <c r="P32" s="250">
        <v>4</v>
      </c>
      <c r="Q32" s="250">
        <v>4</v>
      </c>
      <c r="R32" s="250"/>
      <c r="S32" s="250"/>
      <c r="T32" s="250"/>
      <c r="U32" s="250"/>
      <c r="V32" s="249"/>
      <c r="W32" s="249"/>
      <c r="X32" s="249"/>
      <c r="Y32" s="60"/>
      <c r="Z32" s="26"/>
    </row>
    <row r="33" spans="2:26" x14ac:dyDescent="0.35">
      <c r="B33" s="29"/>
      <c r="C33" s="68"/>
      <c r="D33" s="286" t="s">
        <v>105</v>
      </c>
      <c r="E33" s="286" t="s">
        <v>102</v>
      </c>
      <c r="F33" s="221" t="str">
        <f t="shared" si="3"/>
        <v>Senior Manager 2</v>
      </c>
      <c r="G33" s="221" t="str">
        <f t="shared" si="4"/>
        <v>Senior Manager</v>
      </c>
      <c r="H33" s="221" t="str">
        <f t="shared" si="5"/>
        <v>United States</v>
      </c>
      <c r="I33" s="221" t="str">
        <f t="shared" si="6"/>
        <v>Supply Chain</v>
      </c>
      <c r="J33" s="287">
        <f t="shared" si="7"/>
        <v>171</v>
      </c>
      <c r="K33" s="287">
        <f t="shared" si="8"/>
        <v>10944</v>
      </c>
      <c r="L33" s="288">
        <f>M33/(SUM($M$31:$M$40))</f>
        <v>0.24242424242424243</v>
      </c>
      <c r="M33" s="289">
        <f>SUM(N33:U33)</f>
        <v>64</v>
      </c>
      <c r="N33" s="249">
        <v>0</v>
      </c>
      <c r="O33" s="249">
        <v>0</v>
      </c>
      <c r="P33" s="250">
        <v>32</v>
      </c>
      <c r="Q33" s="250">
        <v>32</v>
      </c>
      <c r="R33" s="250"/>
      <c r="S33" s="250"/>
      <c r="T33" s="250"/>
      <c r="U33" s="250"/>
      <c r="V33" s="249"/>
      <c r="W33" s="249"/>
      <c r="X33" s="249"/>
      <c r="Y33" s="60"/>
      <c r="Z33" s="26"/>
    </row>
    <row r="34" spans="2:26" x14ac:dyDescent="0.35">
      <c r="B34" s="29"/>
      <c r="C34" s="68"/>
      <c r="D34" s="286" t="s">
        <v>107</v>
      </c>
      <c r="E34" s="286" t="s">
        <v>102</v>
      </c>
      <c r="F34" s="221" t="str">
        <f t="shared" si="3"/>
        <v>Manager 1</v>
      </c>
      <c r="G34" s="221" t="str">
        <f t="shared" si="4"/>
        <v>Manager</v>
      </c>
      <c r="H34" s="221" t="str">
        <f t="shared" si="5"/>
        <v>United States</v>
      </c>
      <c r="I34" s="221" t="str">
        <f t="shared" si="6"/>
        <v>Supply Chain</v>
      </c>
      <c r="J34" s="287">
        <f t="shared" si="7"/>
        <v>98</v>
      </c>
      <c r="K34" s="287">
        <f t="shared" si="8"/>
        <v>8820</v>
      </c>
      <c r="L34" s="288">
        <f>M34/(SUM($M$31:$M$40))</f>
        <v>0.34090909090909088</v>
      </c>
      <c r="M34" s="289">
        <f>SUM(N34:U34)</f>
        <v>90</v>
      </c>
      <c r="N34" s="249">
        <v>0</v>
      </c>
      <c r="O34" s="249">
        <v>0</v>
      </c>
      <c r="P34" s="250">
        <v>45</v>
      </c>
      <c r="Q34" s="250">
        <v>45</v>
      </c>
      <c r="R34" s="250"/>
      <c r="S34" s="250"/>
      <c r="T34" s="250"/>
      <c r="U34" s="250"/>
      <c r="V34" s="249"/>
      <c r="W34" s="249"/>
      <c r="X34" s="249"/>
      <c r="Y34" s="60"/>
      <c r="Z34" s="26"/>
    </row>
    <row r="35" spans="2:26" x14ac:dyDescent="0.35">
      <c r="B35" s="29"/>
      <c r="C35" s="68"/>
      <c r="D35" s="286" t="s">
        <v>118</v>
      </c>
      <c r="E35" s="286" t="s">
        <v>176</v>
      </c>
      <c r="F35" s="221" t="str">
        <f t="shared" si="3"/>
        <v>GDS Manager</v>
      </c>
      <c r="G35" s="221" t="str">
        <f t="shared" si="4"/>
        <v>Manager</v>
      </c>
      <c r="H35" s="221" t="str">
        <f t="shared" si="5"/>
        <v>India</v>
      </c>
      <c r="I35" s="221" t="str">
        <f t="shared" si="6"/>
        <v>GDS</v>
      </c>
      <c r="J35" s="287">
        <f t="shared" si="7"/>
        <v>34</v>
      </c>
      <c r="K35" s="287">
        <f>IF(AND(M35&lt;&gt;"",J35&lt;&gt;""),M35*J35,"")</f>
        <v>3060</v>
      </c>
      <c r="L35" s="288">
        <f>M35/(SUM($M$31:$M$40))</f>
        <v>0.34090909090909088</v>
      </c>
      <c r="M35" s="289">
        <f>SUM(N35:U35)</f>
        <v>90</v>
      </c>
      <c r="N35" s="249">
        <v>0</v>
      </c>
      <c r="O35" s="249">
        <v>0</v>
      </c>
      <c r="P35" s="250">
        <v>45</v>
      </c>
      <c r="Q35" s="250">
        <v>45</v>
      </c>
      <c r="R35" s="250"/>
      <c r="S35" s="250"/>
      <c r="T35" s="250"/>
      <c r="U35" s="250"/>
      <c r="V35" s="249"/>
      <c r="W35" s="249"/>
      <c r="X35" s="249"/>
      <c r="Y35" s="60"/>
      <c r="Z35" s="26"/>
    </row>
    <row r="36" spans="2:26" x14ac:dyDescent="0.35">
      <c r="B36" s="29"/>
      <c r="C36" s="68"/>
      <c r="D36" s="286"/>
      <c r="E36" s="286" t="str">
        <f>IF(D36=0,"",IF(VLOOKUP(D36,Resources,2,FALSE)=0,"",VLOOKUP(D36,Resources,2,FALSE)))</f>
        <v/>
      </c>
      <c r="F36" s="221" t="str">
        <f t="shared" si="3"/>
        <v/>
      </c>
      <c r="G36" s="221" t="str">
        <f t="shared" si="4"/>
        <v/>
      </c>
      <c r="H36" s="221" t="str">
        <f t="shared" si="5"/>
        <v/>
      </c>
      <c r="I36" s="221" t="str">
        <f t="shared" si="6"/>
        <v/>
      </c>
      <c r="J36" s="287" t="str">
        <f t="shared" si="7"/>
        <v/>
      </c>
      <c r="K36" s="287" t="str">
        <f t="shared" si="8"/>
        <v/>
      </c>
      <c r="L36" s="288"/>
      <c r="M36" s="289" t="str">
        <f>IF(SUM(N36:X36)=0,"",SUM(N36:X36))</f>
        <v/>
      </c>
      <c r="N36" s="249"/>
      <c r="O36" s="249"/>
      <c r="P36" s="250"/>
      <c r="Q36" s="250"/>
      <c r="R36" s="250"/>
      <c r="S36" s="250"/>
      <c r="T36" s="250"/>
      <c r="U36" s="250"/>
      <c r="V36" s="249"/>
      <c r="W36" s="249"/>
      <c r="X36" s="249"/>
      <c r="Y36" s="60"/>
      <c r="Z36" s="26"/>
    </row>
    <row r="37" spans="2:26" x14ac:dyDescent="0.35">
      <c r="B37" s="29"/>
      <c r="C37" s="68"/>
      <c r="D37" s="286"/>
      <c r="E37" s="286"/>
      <c r="F37" s="221" t="str">
        <f t="shared" si="3"/>
        <v/>
      </c>
      <c r="G37" s="221" t="str">
        <f t="shared" si="4"/>
        <v/>
      </c>
      <c r="H37" s="221" t="str">
        <f t="shared" si="5"/>
        <v/>
      </c>
      <c r="I37" s="221" t="str">
        <f t="shared" si="6"/>
        <v/>
      </c>
      <c r="J37" s="287" t="str">
        <f t="shared" si="7"/>
        <v/>
      </c>
      <c r="K37" s="287"/>
      <c r="L37" s="288"/>
      <c r="M37" s="289"/>
      <c r="N37" s="249"/>
      <c r="O37" s="249"/>
      <c r="P37" s="249"/>
      <c r="Q37" s="249"/>
      <c r="R37" s="249"/>
      <c r="S37" s="249"/>
      <c r="T37" s="249"/>
      <c r="U37" s="249"/>
      <c r="V37" s="249"/>
      <c r="W37" s="249"/>
      <c r="X37" s="249"/>
      <c r="Y37" s="60"/>
      <c r="Z37" s="26"/>
    </row>
    <row r="38" spans="2:26" x14ac:dyDescent="0.35">
      <c r="B38" s="29"/>
      <c r="C38" s="68"/>
      <c r="D38" s="286"/>
      <c r="E38" s="286" t="str">
        <f>IF(D38=0,"",IF(VLOOKUP(D38,Resources,2,FALSE)=0,"",VLOOKUP(D38,Resources,2,FALSE)))</f>
        <v/>
      </c>
      <c r="F38" s="221" t="str">
        <f t="shared" si="3"/>
        <v/>
      </c>
      <c r="G38" s="221" t="str">
        <f t="shared" si="4"/>
        <v/>
      </c>
      <c r="H38" s="221" t="str">
        <f t="shared" si="5"/>
        <v/>
      </c>
      <c r="I38" s="221" t="str">
        <f t="shared" si="6"/>
        <v/>
      </c>
      <c r="J38" s="287" t="str">
        <f t="shared" si="7"/>
        <v/>
      </c>
      <c r="K38" s="287" t="str">
        <f>IF(AND(M38&lt;&gt;"",J38&lt;&gt;""),M38*J38,"")</f>
        <v/>
      </c>
      <c r="L38" s="288"/>
      <c r="M38" s="289" t="str">
        <f>IF(SUM(N38:X38)=0,"",SUM(N38:X38))</f>
        <v/>
      </c>
      <c r="N38" s="249"/>
      <c r="O38" s="249"/>
      <c r="P38" s="249"/>
      <c r="Q38" s="249"/>
      <c r="R38" s="249"/>
      <c r="S38" s="249"/>
      <c r="T38" s="249"/>
      <c r="U38" s="249"/>
      <c r="V38" s="249"/>
      <c r="W38" s="249"/>
      <c r="X38" s="249"/>
      <c r="Y38" s="60"/>
      <c r="Z38" s="26"/>
    </row>
    <row r="39" spans="2:26" x14ac:dyDescent="0.35">
      <c r="B39" s="29"/>
      <c r="C39" s="111"/>
      <c r="D39" s="113"/>
      <c r="E39" s="113"/>
      <c r="F39" s="113"/>
      <c r="G39" s="113"/>
      <c r="H39" s="113"/>
      <c r="I39" s="113"/>
      <c r="J39" s="113"/>
      <c r="K39" s="113"/>
      <c r="L39" s="113"/>
      <c r="M39" s="113"/>
      <c r="N39" s="113"/>
      <c r="O39" s="113"/>
      <c r="P39" s="113"/>
      <c r="Q39" s="113"/>
      <c r="R39" s="113"/>
      <c r="S39" s="113"/>
      <c r="T39" s="113"/>
      <c r="U39" s="113"/>
      <c r="V39" s="113"/>
      <c r="W39" s="113"/>
      <c r="X39" s="114"/>
      <c r="Y39" s="118"/>
      <c r="Z39" s="26"/>
    </row>
    <row r="40" spans="2:26" x14ac:dyDescent="0.35">
      <c r="B40" s="25"/>
      <c r="C40" s="152"/>
      <c r="D40" s="152"/>
      <c r="E40" s="152"/>
      <c r="F40" s="152"/>
      <c r="G40" s="152"/>
      <c r="H40" s="152"/>
      <c r="I40" s="152"/>
      <c r="J40" s="152"/>
      <c r="K40" s="152"/>
      <c r="L40" s="152"/>
      <c r="M40" s="152"/>
      <c r="N40" s="152"/>
      <c r="O40" s="152"/>
      <c r="P40" s="152"/>
      <c r="Q40" s="152"/>
      <c r="R40" s="152"/>
      <c r="S40" s="152"/>
      <c r="T40" s="152"/>
      <c r="U40" s="152"/>
      <c r="V40" s="152"/>
      <c r="W40" s="152"/>
      <c r="X40" s="152"/>
      <c r="Y40" s="152"/>
      <c r="Z40" s="26"/>
    </row>
    <row r="41" spans="2:26" x14ac:dyDescent="0.35">
      <c r="B41" s="25"/>
      <c r="C41" s="290"/>
      <c r="D41" s="290"/>
      <c r="E41" s="290"/>
      <c r="F41" s="290"/>
      <c r="G41" s="290"/>
      <c r="H41" s="290"/>
      <c r="I41" s="290"/>
      <c r="J41" s="290"/>
      <c r="K41" s="290"/>
      <c r="L41" s="290"/>
      <c r="M41" s="290"/>
      <c r="N41" s="290"/>
      <c r="O41" s="290"/>
      <c r="P41" s="290"/>
      <c r="Q41" s="290"/>
      <c r="R41" s="290"/>
      <c r="S41" s="290"/>
      <c r="T41" s="290"/>
      <c r="U41" s="290"/>
      <c r="V41" s="290"/>
      <c r="W41" s="290"/>
      <c r="X41" s="290"/>
      <c r="Y41" s="290"/>
      <c r="Z41" s="26"/>
    </row>
    <row r="42" spans="2:26" x14ac:dyDescent="0.35">
      <c r="B42" s="25"/>
      <c r="C42" s="290"/>
      <c r="D42" s="290"/>
      <c r="E42" s="290"/>
      <c r="F42" s="290"/>
      <c r="G42" s="290"/>
      <c r="H42" s="290"/>
      <c r="I42" s="290"/>
      <c r="J42" s="290"/>
      <c r="K42" s="290"/>
      <c r="L42" s="290"/>
      <c r="M42" s="290"/>
      <c r="N42" s="290"/>
      <c r="O42" s="290"/>
      <c r="P42" s="290"/>
      <c r="Q42" s="290"/>
      <c r="R42" s="290"/>
      <c r="S42" s="290"/>
      <c r="T42" s="290"/>
      <c r="U42" s="290"/>
      <c r="V42" s="290"/>
      <c r="W42" s="290"/>
      <c r="X42" s="290"/>
      <c r="Y42" s="290"/>
      <c r="Z42" s="26"/>
    </row>
    <row r="43" spans="2:26" x14ac:dyDescent="0.35">
      <c r="B43" s="25"/>
      <c r="C43" s="290"/>
      <c r="D43" s="290"/>
      <c r="E43" s="290"/>
      <c r="F43" s="290"/>
      <c r="G43" s="290"/>
      <c r="H43" s="290"/>
      <c r="I43" s="290"/>
      <c r="J43" s="290"/>
      <c r="K43" s="290"/>
      <c r="L43" s="290"/>
      <c r="M43" s="290"/>
      <c r="N43" s="290"/>
      <c r="O43" s="290"/>
      <c r="P43" s="290"/>
      <c r="Q43" s="290"/>
      <c r="R43" s="290"/>
      <c r="S43" s="290"/>
      <c r="T43" s="290"/>
      <c r="U43" s="290"/>
      <c r="V43" s="290"/>
      <c r="W43" s="290"/>
      <c r="X43" s="290"/>
      <c r="Y43" s="290"/>
      <c r="Z43" s="26"/>
    </row>
    <row r="44" spans="2:26" x14ac:dyDescent="0.35">
      <c r="B44" s="25"/>
      <c r="C44" s="290"/>
      <c r="D44" s="290"/>
      <c r="E44" s="290"/>
      <c r="F44" s="290"/>
      <c r="G44" s="290"/>
      <c r="H44" s="290"/>
      <c r="I44" s="290"/>
      <c r="J44" s="290"/>
      <c r="K44" s="290"/>
      <c r="L44" s="290"/>
      <c r="M44" s="290"/>
      <c r="N44" s="290"/>
      <c r="O44" s="290"/>
      <c r="P44" s="290"/>
      <c r="Q44" s="290"/>
      <c r="R44" s="290"/>
      <c r="S44" s="290"/>
      <c r="T44" s="290"/>
      <c r="U44" s="290"/>
      <c r="V44" s="290"/>
      <c r="W44" s="290"/>
      <c r="X44" s="290"/>
      <c r="Y44" s="290"/>
      <c r="Z44" s="26"/>
    </row>
    <row r="45" spans="2:26" x14ac:dyDescent="0.35">
      <c r="B45" s="25"/>
      <c r="C45" s="290"/>
      <c r="D45" s="290"/>
      <c r="E45" s="290"/>
      <c r="F45" s="290"/>
      <c r="G45" s="290"/>
      <c r="H45" s="290"/>
      <c r="I45" s="290"/>
      <c r="J45" s="290"/>
      <c r="K45" s="290"/>
      <c r="L45" s="290"/>
      <c r="M45" s="290"/>
      <c r="N45" s="290"/>
      <c r="O45" s="290"/>
      <c r="P45" s="290"/>
      <c r="Q45" s="290"/>
      <c r="R45" s="290"/>
      <c r="S45" s="290"/>
      <c r="T45" s="290"/>
      <c r="U45" s="290"/>
      <c r="V45" s="290"/>
      <c r="W45" s="290"/>
      <c r="X45" s="290"/>
      <c r="Y45" s="290"/>
      <c r="Z45" s="26"/>
    </row>
    <row r="46" spans="2:26" x14ac:dyDescent="0.35">
      <c r="B46" s="25"/>
      <c r="C46" s="290"/>
      <c r="D46" s="290"/>
      <c r="E46" s="290"/>
      <c r="F46" s="290"/>
      <c r="G46" s="290"/>
      <c r="H46" s="290"/>
      <c r="I46" s="290"/>
      <c r="J46" s="290"/>
      <c r="K46" s="290"/>
      <c r="L46" s="290"/>
      <c r="M46" s="290"/>
      <c r="N46" s="290"/>
      <c r="O46" s="290"/>
      <c r="P46" s="290"/>
      <c r="Q46" s="290"/>
      <c r="R46" s="290"/>
      <c r="S46" s="290"/>
      <c r="T46" s="290"/>
      <c r="U46" s="290"/>
      <c r="V46" s="290"/>
      <c r="W46" s="290"/>
      <c r="X46" s="290"/>
      <c r="Y46" s="290"/>
      <c r="Z46" s="26"/>
    </row>
    <row r="47" spans="2:26" x14ac:dyDescent="0.35">
      <c r="B47" s="25"/>
      <c r="C47" s="290"/>
      <c r="D47" s="290"/>
      <c r="E47" s="290"/>
      <c r="F47" s="290"/>
      <c r="G47" s="290"/>
      <c r="H47" s="290"/>
      <c r="I47" s="290"/>
      <c r="J47" s="290"/>
      <c r="K47" s="290"/>
      <c r="L47" s="290"/>
      <c r="M47" s="290"/>
      <c r="N47" s="290"/>
      <c r="O47" s="290"/>
      <c r="P47" s="290"/>
      <c r="Q47" s="290"/>
      <c r="R47" s="290"/>
      <c r="S47" s="290"/>
      <c r="T47" s="290"/>
      <c r="U47" s="290"/>
      <c r="V47" s="290"/>
      <c r="W47" s="290"/>
      <c r="X47" s="290"/>
      <c r="Y47" s="290"/>
      <c r="Z47" s="26"/>
    </row>
    <row r="48" spans="2:26" x14ac:dyDescent="0.35">
      <c r="B48" s="25"/>
      <c r="C48" s="290"/>
      <c r="D48" s="290"/>
      <c r="E48" s="290"/>
      <c r="F48" s="290"/>
      <c r="G48" s="290"/>
      <c r="H48" s="290"/>
      <c r="I48" s="290"/>
      <c r="J48" s="290"/>
      <c r="K48" s="290"/>
      <c r="L48" s="290"/>
      <c r="M48" s="290"/>
      <c r="N48" s="290"/>
      <c r="O48" s="290"/>
      <c r="P48" s="290"/>
      <c r="Q48" s="290"/>
      <c r="R48" s="290"/>
      <c r="S48" s="290"/>
      <c r="T48" s="290"/>
      <c r="U48" s="290"/>
      <c r="V48" s="290"/>
      <c r="W48" s="290"/>
      <c r="X48" s="290"/>
      <c r="Y48" s="290"/>
      <c r="Z48" s="26"/>
    </row>
    <row r="49" spans="2:26" x14ac:dyDescent="0.35">
      <c r="B49" s="25"/>
      <c r="C49" s="290"/>
      <c r="D49" s="290"/>
      <c r="E49" s="290"/>
      <c r="F49" s="290"/>
      <c r="G49" s="290"/>
      <c r="H49" s="290"/>
      <c r="I49" s="290"/>
      <c r="J49" s="290"/>
      <c r="K49" s="290"/>
      <c r="L49" s="290"/>
      <c r="M49" s="290"/>
      <c r="N49" s="290"/>
      <c r="O49" s="290"/>
      <c r="P49" s="290"/>
      <c r="Q49" s="290"/>
      <c r="R49" s="290"/>
      <c r="S49" s="290"/>
      <c r="T49" s="290"/>
      <c r="U49" s="290"/>
      <c r="V49" s="290"/>
      <c r="W49" s="290"/>
      <c r="X49" s="290"/>
      <c r="Y49" s="290"/>
      <c r="Z49" s="26"/>
    </row>
    <row r="50" spans="2:26" x14ac:dyDescent="0.35">
      <c r="B50" s="25"/>
      <c r="C50" s="290"/>
      <c r="D50" s="290"/>
      <c r="E50" s="290"/>
      <c r="F50" s="290"/>
      <c r="G50" s="290"/>
      <c r="H50" s="290"/>
      <c r="I50" s="290"/>
      <c r="J50" s="290"/>
      <c r="K50" s="290"/>
      <c r="L50" s="290"/>
      <c r="M50" s="290"/>
      <c r="N50" s="290"/>
      <c r="O50" s="290"/>
      <c r="P50" s="290"/>
      <c r="Q50" s="290"/>
      <c r="R50" s="290"/>
      <c r="S50" s="290"/>
      <c r="T50" s="290"/>
      <c r="U50" s="290"/>
      <c r="V50" s="290"/>
      <c r="W50" s="290"/>
      <c r="X50" s="290"/>
      <c r="Y50" s="290"/>
      <c r="Z50" s="26"/>
    </row>
    <row r="51" spans="2:26" x14ac:dyDescent="0.35">
      <c r="B51" s="25"/>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6"/>
    </row>
    <row r="52" spans="2:26" x14ac:dyDescent="0.35">
      <c r="B52" s="25"/>
      <c r="C52" s="290"/>
      <c r="D52" s="290"/>
      <c r="E52" s="290"/>
      <c r="F52" s="290"/>
      <c r="G52" s="290"/>
      <c r="H52" s="290"/>
      <c r="I52" s="290"/>
      <c r="J52" s="290"/>
      <c r="K52" s="290"/>
      <c r="L52" s="290"/>
      <c r="M52" s="290"/>
      <c r="N52" s="290"/>
      <c r="O52" s="290"/>
      <c r="P52" s="290"/>
      <c r="Q52" s="290"/>
      <c r="R52" s="290"/>
      <c r="S52" s="290"/>
      <c r="T52" s="290"/>
      <c r="U52" s="290"/>
      <c r="V52" s="290"/>
      <c r="W52" s="290"/>
      <c r="X52" s="290"/>
      <c r="Y52" s="290"/>
      <c r="Z52" s="26"/>
    </row>
    <row r="53" spans="2:26" x14ac:dyDescent="0.35">
      <c r="B53" s="25"/>
      <c r="C53" s="290"/>
      <c r="D53" s="290"/>
      <c r="E53" s="290"/>
      <c r="F53" s="290"/>
      <c r="G53" s="290"/>
      <c r="H53" s="290"/>
      <c r="I53" s="290"/>
      <c r="J53" s="290"/>
      <c r="K53" s="290"/>
      <c r="L53" s="290"/>
      <c r="M53" s="290"/>
      <c r="N53" s="290"/>
      <c r="O53" s="290"/>
      <c r="P53" s="290"/>
      <c r="Q53" s="290"/>
      <c r="R53" s="290"/>
      <c r="S53" s="290"/>
      <c r="T53" s="290"/>
      <c r="U53" s="290"/>
      <c r="V53" s="290"/>
      <c r="W53" s="290"/>
      <c r="X53" s="290"/>
      <c r="Y53" s="290"/>
      <c r="Z53" s="26"/>
    </row>
    <row r="54" spans="2:26" x14ac:dyDescent="0.35">
      <c r="B54" s="25"/>
      <c r="C54" s="290"/>
      <c r="D54" s="290"/>
      <c r="E54" s="290"/>
      <c r="F54" s="290"/>
      <c r="G54" s="290"/>
      <c r="H54" s="290"/>
      <c r="I54" s="290"/>
      <c r="J54" s="290"/>
      <c r="K54" s="290"/>
      <c r="L54" s="290"/>
      <c r="M54" s="290"/>
      <c r="N54" s="290"/>
      <c r="O54" s="290"/>
      <c r="P54" s="290"/>
      <c r="Q54" s="290"/>
      <c r="R54" s="290"/>
      <c r="S54" s="290"/>
      <c r="T54" s="290"/>
      <c r="U54" s="290"/>
      <c r="V54" s="290"/>
      <c r="W54" s="290"/>
      <c r="X54" s="290"/>
      <c r="Y54" s="290"/>
      <c r="Z54" s="26"/>
    </row>
    <row r="55" spans="2:26" x14ac:dyDescent="0.35">
      <c r="B55" s="25"/>
      <c r="C55" s="290"/>
      <c r="D55" s="290"/>
      <c r="E55" s="290"/>
      <c r="F55" s="290"/>
      <c r="G55" s="290"/>
      <c r="H55" s="290"/>
      <c r="I55" s="290"/>
      <c r="J55" s="290"/>
      <c r="K55" s="290"/>
      <c r="L55" s="290"/>
      <c r="M55" s="290"/>
      <c r="N55" s="290"/>
      <c r="O55" s="290"/>
      <c r="P55" s="290"/>
      <c r="Q55" s="290"/>
      <c r="R55" s="290"/>
      <c r="S55" s="290"/>
      <c r="T55" s="290"/>
      <c r="U55" s="290"/>
      <c r="V55" s="290"/>
      <c r="W55" s="290"/>
      <c r="X55" s="290"/>
      <c r="Y55" s="290"/>
      <c r="Z55" s="26"/>
    </row>
    <row r="56" spans="2:26" x14ac:dyDescent="0.35">
      <c r="B56" s="25"/>
      <c r="C56" s="290"/>
      <c r="D56" s="290"/>
      <c r="E56" s="290"/>
      <c r="F56" s="290"/>
      <c r="G56" s="290"/>
      <c r="H56" s="290"/>
      <c r="I56" s="290"/>
      <c r="J56" s="290"/>
      <c r="K56" s="290"/>
      <c r="L56" s="290"/>
      <c r="M56" s="290"/>
      <c r="N56" s="290"/>
      <c r="O56" s="290"/>
      <c r="P56" s="290"/>
      <c r="Q56" s="290"/>
      <c r="R56" s="290"/>
      <c r="S56" s="290"/>
      <c r="T56" s="290"/>
      <c r="U56" s="290"/>
      <c r="V56" s="290"/>
      <c r="W56" s="290"/>
      <c r="X56" s="290"/>
      <c r="Y56" s="290"/>
      <c r="Z56" s="26"/>
    </row>
    <row r="57" spans="2:26" x14ac:dyDescent="0.35">
      <c r="B57" s="25"/>
      <c r="C57" s="290"/>
      <c r="D57" s="290"/>
      <c r="E57" s="290"/>
      <c r="F57" s="290"/>
      <c r="G57" s="290"/>
      <c r="H57" s="290"/>
      <c r="I57" s="290"/>
      <c r="J57" s="290"/>
      <c r="K57" s="290"/>
      <c r="L57" s="290"/>
      <c r="M57" s="290"/>
      <c r="N57" s="290"/>
      <c r="O57" s="290"/>
      <c r="P57" s="290"/>
      <c r="Q57" s="290"/>
      <c r="R57" s="290"/>
      <c r="S57" s="290"/>
      <c r="T57" s="290"/>
      <c r="U57" s="290"/>
      <c r="V57" s="290"/>
      <c r="W57" s="290"/>
      <c r="X57" s="290"/>
      <c r="Y57" s="290"/>
      <c r="Z57" s="26"/>
    </row>
    <row r="58" spans="2:26" x14ac:dyDescent="0.35">
      <c r="B58" s="25"/>
      <c r="C58" s="290"/>
      <c r="D58" s="290"/>
      <c r="E58" s="290"/>
      <c r="F58" s="290"/>
      <c r="G58" s="290"/>
      <c r="H58" s="290"/>
      <c r="I58" s="290"/>
      <c r="J58" s="290"/>
      <c r="K58" s="290"/>
      <c r="L58" s="290"/>
      <c r="M58" s="290"/>
      <c r="N58" s="290"/>
      <c r="O58" s="290"/>
      <c r="P58" s="290"/>
      <c r="Q58" s="290"/>
      <c r="R58" s="290"/>
      <c r="S58" s="290"/>
      <c r="T58" s="290"/>
      <c r="U58" s="290"/>
      <c r="V58" s="290"/>
      <c r="W58" s="290"/>
      <c r="X58" s="290"/>
      <c r="Y58" s="290"/>
      <c r="Z58" s="26"/>
    </row>
    <row r="59" spans="2:26" x14ac:dyDescent="0.35">
      <c r="B59" s="25"/>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6"/>
    </row>
    <row r="60" spans="2:26" x14ac:dyDescent="0.35">
      <c r="B60" s="25"/>
      <c r="C60" s="290"/>
      <c r="D60" s="290"/>
      <c r="E60" s="290"/>
      <c r="F60" s="290"/>
      <c r="G60" s="290"/>
      <c r="H60" s="290"/>
      <c r="I60" s="290"/>
      <c r="J60" s="290"/>
      <c r="K60" s="290"/>
      <c r="L60" s="290"/>
      <c r="M60" s="290"/>
      <c r="N60" s="290"/>
      <c r="O60" s="290"/>
      <c r="P60" s="290"/>
      <c r="Q60" s="290"/>
      <c r="R60" s="290"/>
      <c r="S60" s="290"/>
      <c r="T60" s="290"/>
      <c r="U60" s="290"/>
      <c r="V60" s="290"/>
      <c r="W60" s="290"/>
      <c r="X60" s="290"/>
      <c r="Y60" s="290"/>
      <c r="Z60" s="26"/>
    </row>
    <row r="61" spans="2:26" x14ac:dyDescent="0.35">
      <c r="B61" s="25"/>
      <c r="C61" s="290"/>
      <c r="D61" s="290"/>
      <c r="E61" s="290"/>
      <c r="F61" s="290"/>
      <c r="G61" s="290"/>
      <c r="H61" s="290"/>
      <c r="I61" s="290"/>
      <c r="J61" s="290"/>
      <c r="K61" s="290"/>
      <c r="L61" s="290"/>
      <c r="M61" s="290"/>
      <c r="N61" s="290"/>
      <c r="O61" s="290"/>
      <c r="P61" s="290"/>
      <c r="Q61" s="290"/>
      <c r="R61" s="290"/>
      <c r="S61" s="290"/>
      <c r="T61" s="290"/>
      <c r="U61" s="290"/>
      <c r="V61" s="290"/>
      <c r="W61" s="290"/>
      <c r="X61" s="290"/>
      <c r="Y61" s="290"/>
      <c r="Z61" s="26"/>
    </row>
    <row r="62" spans="2:26" x14ac:dyDescent="0.35">
      <c r="B62" s="25"/>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6"/>
    </row>
    <row r="63" spans="2:26" x14ac:dyDescent="0.35">
      <c r="B63" s="25"/>
      <c r="C63" s="290"/>
      <c r="D63" s="290"/>
      <c r="E63" s="290"/>
      <c r="F63" s="290"/>
      <c r="G63" s="290"/>
      <c r="H63" s="290"/>
      <c r="I63" s="290"/>
      <c r="J63" s="290"/>
      <c r="K63" s="290"/>
      <c r="L63" s="290"/>
      <c r="M63" s="290"/>
      <c r="N63" s="290"/>
      <c r="O63" s="290"/>
      <c r="P63" s="290"/>
      <c r="Q63" s="290"/>
      <c r="R63" s="290"/>
      <c r="S63" s="290"/>
      <c r="T63" s="290"/>
      <c r="U63" s="290"/>
      <c r="V63" s="290"/>
      <c r="W63" s="290"/>
      <c r="X63" s="290"/>
      <c r="Y63" s="290"/>
      <c r="Z63" s="26"/>
    </row>
    <row r="64" spans="2:26" x14ac:dyDescent="0.35">
      <c r="B64" s="25"/>
      <c r="C64" s="290"/>
      <c r="D64" s="290"/>
      <c r="E64" s="290"/>
      <c r="F64" s="290"/>
      <c r="G64" s="290"/>
      <c r="H64" s="290"/>
      <c r="I64" s="290"/>
      <c r="J64" s="290"/>
      <c r="K64" s="290"/>
      <c r="L64" s="290"/>
      <c r="M64" s="290"/>
      <c r="N64" s="290"/>
      <c r="O64" s="290"/>
      <c r="P64" s="290"/>
      <c r="Q64" s="290"/>
      <c r="R64" s="290"/>
      <c r="S64" s="290"/>
      <c r="T64" s="290"/>
      <c r="U64" s="290"/>
      <c r="V64" s="290"/>
      <c r="W64" s="290"/>
      <c r="X64" s="290"/>
      <c r="Y64" s="290"/>
      <c r="Z64" s="26"/>
    </row>
    <row r="65" spans="2:26" x14ac:dyDescent="0.35">
      <c r="B65" s="25"/>
      <c r="C65" s="290"/>
      <c r="D65" s="290"/>
      <c r="E65" s="290"/>
      <c r="F65" s="290"/>
      <c r="G65" s="290"/>
      <c r="H65" s="290"/>
      <c r="I65" s="290"/>
      <c r="J65" s="290"/>
      <c r="K65" s="290"/>
      <c r="L65" s="290"/>
      <c r="M65" s="290"/>
      <c r="N65" s="290"/>
      <c r="O65" s="290"/>
      <c r="P65" s="290"/>
      <c r="Q65" s="290"/>
      <c r="R65" s="290"/>
      <c r="S65" s="290"/>
      <c r="T65" s="290"/>
      <c r="U65" s="290"/>
      <c r="V65" s="290"/>
      <c r="W65" s="290"/>
      <c r="X65" s="290"/>
      <c r="Y65" s="290"/>
      <c r="Z65" s="26"/>
    </row>
    <row r="66" spans="2:26" x14ac:dyDescent="0.35">
      <c r="B66" s="25"/>
      <c r="C66" s="290"/>
      <c r="D66" s="290"/>
      <c r="E66" s="290"/>
      <c r="F66" s="290"/>
      <c r="G66" s="290"/>
      <c r="H66" s="290"/>
      <c r="I66" s="290"/>
      <c r="J66" s="290"/>
      <c r="K66" s="290"/>
      <c r="L66" s="290"/>
      <c r="M66" s="290"/>
      <c r="N66" s="290"/>
      <c r="O66" s="290"/>
      <c r="P66" s="290"/>
      <c r="Q66" s="290"/>
      <c r="R66" s="290"/>
      <c r="S66" s="290"/>
      <c r="T66" s="290"/>
      <c r="U66" s="290"/>
      <c r="V66" s="290"/>
      <c r="W66" s="290"/>
      <c r="X66" s="290"/>
      <c r="Y66" s="290"/>
      <c r="Z66" s="26"/>
    </row>
    <row r="67" spans="2:26" x14ac:dyDescent="0.35">
      <c r="B67" s="25"/>
      <c r="C67" s="290"/>
      <c r="D67" s="290"/>
      <c r="E67" s="290"/>
      <c r="F67" s="290"/>
      <c r="G67" s="290"/>
      <c r="H67" s="290"/>
      <c r="I67" s="290"/>
      <c r="J67" s="290"/>
      <c r="K67" s="290"/>
      <c r="L67" s="290"/>
      <c r="M67" s="290"/>
      <c r="N67" s="290"/>
      <c r="O67" s="290"/>
      <c r="P67" s="290"/>
      <c r="Q67" s="290"/>
      <c r="R67" s="290"/>
      <c r="S67" s="290"/>
      <c r="T67" s="290"/>
      <c r="U67" s="290"/>
      <c r="V67" s="290"/>
      <c r="W67" s="290"/>
      <c r="X67" s="290"/>
      <c r="Y67" s="290"/>
      <c r="Z67" s="26"/>
    </row>
    <row r="68" spans="2:26" x14ac:dyDescent="0.35">
      <c r="B68" s="25"/>
      <c r="C68" s="290"/>
      <c r="D68" s="290"/>
      <c r="E68" s="290"/>
      <c r="F68" s="290"/>
      <c r="G68" s="290"/>
      <c r="H68" s="290"/>
      <c r="I68" s="290"/>
      <c r="J68" s="290"/>
      <c r="K68" s="290"/>
      <c r="L68" s="290"/>
      <c r="M68" s="290"/>
      <c r="N68" s="290"/>
      <c r="O68" s="290"/>
      <c r="P68" s="290"/>
      <c r="Q68" s="290"/>
      <c r="R68" s="290"/>
      <c r="S68" s="290"/>
      <c r="T68" s="290"/>
      <c r="U68" s="290"/>
      <c r="V68" s="290"/>
      <c r="W68" s="290"/>
      <c r="X68" s="290"/>
      <c r="Y68" s="290"/>
      <c r="Z68" s="26"/>
    </row>
    <row r="69" spans="2:26" x14ac:dyDescent="0.35">
      <c r="B69" s="25"/>
      <c r="C69" s="290"/>
      <c r="D69" s="290"/>
      <c r="E69" s="290"/>
      <c r="F69" s="290"/>
      <c r="G69" s="290"/>
      <c r="H69" s="290"/>
      <c r="I69" s="290"/>
      <c r="J69" s="290"/>
      <c r="K69" s="290"/>
      <c r="L69" s="290"/>
      <c r="M69" s="290"/>
      <c r="N69" s="290"/>
      <c r="O69" s="290"/>
      <c r="P69" s="290"/>
      <c r="Q69" s="290"/>
      <c r="R69" s="290"/>
      <c r="S69" s="290"/>
      <c r="T69" s="290"/>
      <c r="U69" s="290"/>
      <c r="V69" s="290"/>
      <c r="W69" s="290"/>
      <c r="X69" s="290"/>
      <c r="Y69" s="290"/>
      <c r="Z69" s="26"/>
    </row>
    <row r="70" spans="2:26" ht="15" thickBot="1" x14ac:dyDescent="0.4">
      <c r="B70" s="122"/>
      <c r="C70" s="124"/>
      <c r="D70" s="124"/>
      <c r="E70" s="124"/>
      <c r="F70" s="124"/>
      <c r="G70" s="124"/>
      <c r="H70" s="124"/>
      <c r="I70" s="124"/>
      <c r="J70" s="124"/>
      <c r="K70" s="124"/>
      <c r="L70" s="124"/>
      <c r="M70" s="124"/>
      <c r="N70" s="124"/>
      <c r="O70" s="124"/>
      <c r="P70" s="124"/>
      <c r="Q70" s="124"/>
      <c r="R70" s="124"/>
      <c r="S70" s="124"/>
      <c r="T70" s="124"/>
      <c r="U70" s="124"/>
      <c r="V70" s="124"/>
      <c r="W70" s="124"/>
      <c r="X70" s="124"/>
      <c r="Y70" s="124"/>
      <c r="Z70" s="126"/>
    </row>
  </sheetData>
  <mergeCells count="38">
    <mergeCell ref="V28:X28"/>
    <mergeCell ref="G26:H26"/>
    <mergeCell ref="L26:O26"/>
    <mergeCell ref="Q26:R26"/>
    <mergeCell ref="V26:X26"/>
    <mergeCell ref="V27:X27"/>
    <mergeCell ref="D27:E27"/>
    <mergeCell ref="F27:F28"/>
    <mergeCell ref="G27:H27"/>
    <mergeCell ref="L27:O27"/>
    <mergeCell ref="Q27:R27"/>
    <mergeCell ref="G28:H28"/>
    <mergeCell ref="Q28:R28"/>
    <mergeCell ref="G24:H24"/>
    <mergeCell ref="K24:K25"/>
    <mergeCell ref="L24:O25"/>
    <mergeCell ref="Q24:R24"/>
    <mergeCell ref="V24:X24"/>
    <mergeCell ref="G25:H25"/>
    <mergeCell ref="Q25:R25"/>
    <mergeCell ref="V25:X25"/>
    <mergeCell ref="D23:E23"/>
    <mergeCell ref="H8:I8"/>
    <mergeCell ref="H9:I9"/>
    <mergeCell ref="H10:I10"/>
    <mergeCell ref="H11:I11"/>
    <mergeCell ref="H12:I12"/>
    <mergeCell ref="H13:I13"/>
    <mergeCell ref="H14:I14"/>
    <mergeCell ref="H15:I15"/>
    <mergeCell ref="H16:I16"/>
    <mergeCell ref="C19:Y20"/>
    <mergeCell ref="C21:K22"/>
    <mergeCell ref="K6:M6"/>
    <mergeCell ref="H7:I7"/>
    <mergeCell ref="K7:K8"/>
    <mergeCell ref="L7:L8"/>
    <mergeCell ref="M7:M8"/>
  </mergeCells>
  <conditionalFormatting sqref="K27 U25:U28">
    <cfRule type="cellIs" dxfId="23" priority="5" operator="notBetween">
      <formula>-0.005</formula>
      <formula>0.005</formula>
    </cfRule>
  </conditionalFormatting>
  <conditionalFormatting sqref="K26">
    <cfRule type="cellIs" dxfId="22" priority="4" operator="notBetween">
      <formula>-0.5</formula>
      <formula>0.5</formula>
    </cfRule>
  </conditionalFormatting>
  <conditionalFormatting sqref="G8:G9 G11:G16">
    <cfRule type="cellIs" dxfId="21" priority="3" operator="notBetween">
      <formula>-0.005</formula>
      <formula>0.005</formula>
    </cfRule>
  </conditionalFormatting>
  <conditionalFormatting sqref="P31:U36">
    <cfRule type="cellIs" dxfId="20" priority="2" operator="equal">
      <formula>0</formula>
    </cfRule>
  </conditionalFormatting>
  <dataValidations count="1">
    <dataValidation type="list" allowBlank="1" showInputMessage="1" showErrorMessage="1" sqref="D31:D38" xr:uid="{4306EF2C-A7C6-4B4F-BBD1-34373B27E49A}">
      <formula1>Names</formula1>
    </dataValidation>
  </dataValidations>
  <pageMargins left="0.7" right="0.7" top="0.75" bottom="0.75" header="0.3" footer="0.3"/>
  <pageSetup paperSize="9" orientation="portrait" horizontalDpi="30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9C473-7B91-4A2F-BEC7-691422DE3107}">
  <sheetPr codeName="Sheet4"/>
  <dimension ref="A1:Z70"/>
  <sheetViews>
    <sheetView topLeftCell="B1" zoomScale="70" zoomScaleNormal="70" workbookViewId="0">
      <selection activeCell="C21" sqref="C21:K22"/>
    </sheetView>
  </sheetViews>
  <sheetFormatPr defaultColWidth="8.54296875" defaultRowHeight="14.5" x14ac:dyDescent="0.35"/>
  <cols>
    <col min="1" max="1" width="2" customWidth="1"/>
    <col min="2" max="2" width="2.54296875" style="1" customWidth="1"/>
    <col min="3" max="3" width="3.453125" style="1" customWidth="1"/>
    <col min="4" max="4" width="29.54296875" style="1" customWidth="1"/>
    <col min="5" max="5" width="22.81640625" style="1" customWidth="1"/>
    <col min="6" max="8" width="19.453125" style="1" customWidth="1"/>
    <col min="9" max="9" width="21.453125" style="1" customWidth="1"/>
    <col min="10" max="10" width="13.26953125" style="1" customWidth="1"/>
    <col min="11" max="11" width="20.1796875" style="1" customWidth="1"/>
    <col min="12" max="12" width="16.54296875" style="1" bestFit="1" customWidth="1"/>
    <col min="13" max="13" width="18.1796875" style="1" customWidth="1"/>
    <col min="14" max="14" width="14.453125" style="1" customWidth="1"/>
    <col min="15" max="18" width="8.54296875" style="1"/>
    <col min="19" max="20" width="9.54296875" style="1" customWidth="1"/>
    <col min="21" max="24" width="8.54296875" style="1"/>
    <col min="25" max="25" width="3.54296875" style="1" customWidth="1"/>
    <col min="26" max="26" width="3.453125" style="1" customWidth="1"/>
    <col min="27" max="16384" width="8.54296875" style="1"/>
  </cols>
  <sheetData>
    <row r="1" spans="2:26" ht="12" customHeight="1" thickBot="1" x14ac:dyDescent="0.4"/>
    <row r="2" spans="2:26" x14ac:dyDescent="0.35">
      <c r="B2" s="20"/>
      <c r="C2" s="231"/>
      <c r="D2" s="231"/>
      <c r="E2" s="231"/>
      <c r="F2" s="231"/>
      <c r="G2" s="231"/>
      <c r="H2" s="231"/>
      <c r="I2" s="231"/>
      <c r="J2" s="231"/>
      <c r="K2" s="231"/>
      <c r="L2" s="231"/>
      <c r="M2" s="231"/>
      <c r="N2" s="231"/>
      <c r="O2" s="231"/>
      <c r="P2" s="231"/>
      <c r="Q2" s="231"/>
      <c r="R2" s="231"/>
      <c r="S2" s="231"/>
      <c r="T2" s="231"/>
      <c r="U2" s="231"/>
      <c r="V2" s="231"/>
      <c r="W2" s="231"/>
      <c r="X2" s="231"/>
      <c r="Y2" s="231"/>
      <c r="Z2" s="23"/>
    </row>
    <row r="3" spans="2:26" ht="27.65" customHeight="1" x14ac:dyDescent="0.35">
      <c r="B3" s="29"/>
      <c r="C3" s="232" t="s">
        <v>135</v>
      </c>
      <c r="D3" s="44"/>
      <c r="E3" s="44"/>
      <c r="F3" s="44"/>
      <c r="G3" s="44"/>
      <c r="H3" s="44"/>
      <c r="I3" s="44"/>
      <c r="J3" s="44"/>
      <c r="K3" s="44"/>
      <c r="L3" s="44"/>
      <c r="M3" s="44"/>
      <c r="N3" s="44"/>
      <c r="O3" s="44"/>
      <c r="P3" s="44"/>
      <c r="Q3" s="44"/>
      <c r="R3" s="44"/>
      <c r="S3" s="44"/>
      <c r="T3" s="44"/>
      <c r="U3" s="44"/>
      <c r="V3" s="44"/>
      <c r="W3" s="44"/>
      <c r="X3" s="45"/>
      <c r="Y3" s="49"/>
      <c r="Z3" s="26"/>
    </row>
    <row r="4" spans="2:26" x14ac:dyDescent="0.35">
      <c r="B4" s="29"/>
      <c r="C4" s="50"/>
      <c r="D4" s="233"/>
      <c r="E4" s="233"/>
      <c r="F4" s="233"/>
      <c r="G4" s="233"/>
      <c r="H4" s="233"/>
      <c r="I4" s="233"/>
      <c r="J4" s="233"/>
      <c r="K4" s="233"/>
      <c r="L4" s="233"/>
      <c r="M4" s="233"/>
      <c r="N4" s="233"/>
      <c r="O4" s="233"/>
      <c r="P4" s="233"/>
      <c r="Q4" s="233"/>
      <c r="R4" s="233"/>
      <c r="S4" s="233"/>
      <c r="T4" s="233"/>
      <c r="U4" s="233"/>
      <c r="V4" s="233"/>
      <c r="W4" s="233"/>
      <c r="X4" s="234"/>
      <c r="Y4" s="56"/>
      <c r="Z4" s="26"/>
    </row>
    <row r="5" spans="2:26" x14ac:dyDescent="0.35">
      <c r="B5" s="29"/>
      <c r="C5" s="205"/>
      <c r="D5" s="235"/>
      <c r="N5" s="74"/>
      <c r="O5" s="74"/>
      <c r="P5" s="74"/>
      <c r="Q5" s="74"/>
      <c r="R5" s="74"/>
      <c r="S5" s="74"/>
      <c r="T5" s="74"/>
      <c r="U5" s="74"/>
      <c r="V5" s="74"/>
      <c r="W5" s="74"/>
      <c r="X5" s="74"/>
      <c r="Y5" s="75"/>
      <c r="Z5" s="26"/>
    </row>
    <row r="6" spans="2:26" x14ac:dyDescent="0.35">
      <c r="B6" s="29"/>
      <c r="C6" s="236"/>
      <c r="D6" s="237" t="s">
        <v>136</v>
      </c>
      <c r="E6" s="47"/>
      <c r="F6" s="47"/>
      <c r="G6" s="47"/>
      <c r="H6" s="47"/>
      <c r="I6" s="238"/>
      <c r="K6" s="426" t="s">
        <v>137</v>
      </c>
      <c r="L6" s="427"/>
      <c r="M6" s="428"/>
      <c r="N6" s="74"/>
      <c r="O6" s="74"/>
      <c r="P6" s="74"/>
      <c r="Q6" s="74"/>
      <c r="R6" s="74"/>
      <c r="S6" s="74"/>
      <c r="T6" s="74"/>
      <c r="U6" s="74"/>
      <c r="V6" s="74"/>
      <c r="W6" s="74"/>
      <c r="X6" s="74"/>
      <c r="Y6" s="75"/>
      <c r="Z6" s="26"/>
    </row>
    <row r="7" spans="2:26" x14ac:dyDescent="0.35">
      <c r="B7" s="29"/>
      <c r="C7" s="205"/>
      <c r="D7" s="235"/>
      <c r="E7" s="239" t="s">
        <v>138</v>
      </c>
      <c r="F7" s="239" t="s">
        <v>139</v>
      </c>
      <c r="G7" s="240" t="s">
        <v>140</v>
      </c>
      <c r="H7" s="429" t="s">
        <v>141</v>
      </c>
      <c r="I7" s="430"/>
      <c r="K7" s="431" t="s">
        <v>94</v>
      </c>
      <c r="L7" s="431" t="s">
        <v>142</v>
      </c>
      <c r="M7" s="431" t="s">
        <v>62</v>
      </c>
      <c r="N7" s="74"/>
      <c r="O7" s="74"/>
      <c r="P7" s="74"/>
      <c r="Q7" s="74"/>
      <c r="R7" s="74"/>
      <c r="S7" s="74"/>
      <c r="T7" s="74"/>
      <c r="U7" s="74"/>
      <c r="V7" s="74"/>
      <c r="W7" s="74"/>
      <c r="X7" s="74"/>
      <c r="Z7" s="26"/>
    </row>
    <row r="8" spans="2:26" s="62" customFormat="1" ht="14.9" customHeight="1" x14ac:dyDescent="0.35">
      <c r="B8" s="241"/>
      <c r="C8" s="242"/>
      <c r="D8" s="243" t="s">
        <v>143</v>
      </c>
      <c r="E8" s="244">
        <f>SUM(M31:M405)</f>
        <v>720</v>
      </c>
      <c r="F8" s="244">
        <f>SUM(M9:M16)</f>
        <v>720</v>
      </c>
      <c r="G8" s="245">
        <f>E8-F8</f>
        <v>0</v>
      </c>
      <c r="H8" s="433"/>
      <c r="I8" s="434"/>
      <c r="J8" s="1"/>
      <c r="K8" s="432"/>
      <c r="L8" s="432"/>
      <c r="M8" s="432"/>
      <c r="N8" s="74"/>
      <c r="O8" s="74"/>
      <c r="P8" s="74"/>
      <c r="Q8" s="74"/>
      <c r="R8" s="74"/>
      <c r="S8" s="74"/>
      <c r="T8" s="74"/>
      <c r="U8" s="74"/>
      <c r="V8" s="74"/>
      <c r="W8" s="74"/>
      <c r="X8" s="74"/>
      <c r="Z8" s="246"/>
    </row>
    <row r="9" spans="2:26" x14ac:dyDescent="0.35">
      <c r="B9" s="29"/>
      <c r="C9" s="68"/>
      <c r="D9" s="243" t="s">
        <v>144</v>
      </c>
      <c r="E9" s="247">
        <f>SUMIF(F31:F405,"GDS *",M31:M405)/E8</f>
        <v>0.5</v>
      </c>
      <c r="F9" s="247">
        <f>SUM(M14:M16)/F8</f>
        <v>0.5</v>
      </c>
      <c r="G9" s="248">
        <f>E9-F9</f>
        <v>0</v>
      </c>
      <c r="H9" s="433"/>
      <c r="I9" s="434"/>
      <c r="K9" s="341" t="s">
        <v>24</v>
      </c>
      <c r="L9" s="342">
        <f>M9/$F$8</f>
        <v>0.05</v>
      </c>
      <c r="M9" s="343">
        <f>'Project Plan - Rapid'!H39</f>
        <v>36</v>
      </c>
      <c r="N9" s="74"/>
      <c r="O9" s="74"/>
      <c r="P9" s="74"/>
      <c r="Q9" s="74"/>
      <c r="R9" s="74"/>
      <c r="S9" s="74"/>
      <c r="T9" s="74"/>
      <c r="U9" s="74"/>
      <c r="V9" s="74"/>
      <c r="W9" s="74"/>
      <c r="X9" s="74"/>
      <c r="Z9" s="26"/>
    </row>
    <row r="10" spans="2:26" x14ac:dyDescent="0.35">
      <c r="B10" s="29"/>
      <c r="C10" s="68"/>
      <c r="D10" s="251" t="s">
        <v>145</v>
      </c>
      <c r="E10" s="252"/>
      <c r="F10" s="252"/>
      <c r="G10" s="252"/>
      <c r="H10" s="435"/>
      <c r="I10" s="436"/>
      <c r="K10" s="341" t="s">
        <v>25</v>
      </c>
      <c r="L10" s="342">
        <f t="shared" ref="L10:L16" si="0">M10/$F$8</f>
        <v>0.2</v>
      </c>
      <c r="M10" s="343">
        <f>'Project Plan - Rapid'!I39+'Project Plan - Rapid'!J39</f>
        <v>144</v>
      </c>
      <c r="N10" s="74"/>
      <c r="O10" s="74"/>
      <c r="P10" s="74"/>
      <c r="Q10" s="74"/>
      <c r="R10" s="74"/>
      <c r="S10" s="74"/>
      <c r="T10" s="74"/>
      <c r="U10" s="74"/>
      <c r="V10" s="74"/>
      <c r="W10" s="74"/>
      <c r="X10" s="74"/>
      <c r="Z10" s="26"/>
    </row>
    <row r="11" spans="2:26" x14ac:dyDescent="0.35">
      <c r="B11" s="29"/>
      <c r="C11" s="68"/>
      <c r="D11" s="253" t="s">
        <v>24</v>
      </c>
      <c r="E11" s="247">
        <f>SUMIF($G$31:$G$405,D11,$L$31:$L$405)</f>
        <v>0.05</v>
      </c>
      <c r="F11" s="247">
        <f>L9</f>
        <v>0.05</v>
      </c>
      <c r="G11" s="248">
        <f t="shared" ref="G11:G16" si="1">E11-F11</f>
        <v>0</v>
      </c>
      <c r="H11" s="433"/>
      <c r="I11" s="434"/>
      <c r="K11" s="341" t="s">
        <v>26</v>
      </c>
      <c r="L11" s="342">
        <f t="shared" si="0"/>
        <v>0.25</v>
      </c>
      <c r="M11" s="343">
        <f>'Project Plan - Rapid'!K39</f>
        <v>180</v>
      </c>
      <c r="N11" s="74"/>
      <c r="O11" s="74"/>
      <c r="P11" s="74"/>
      <c r="Q11" s="74"/>
      <c r="R11" s="74"/>
      <c r="S11" s="74"/>
      <c r="T11" s="74"/>
      <c r="U11" s="74"/>
      <c r="V11" s="74"/>
      <c r="W11" s="74"/>
      <c r="X11" s="74"/>
      <c r="Z11" s="26"/>
    </row>
    <row r="12" spans="2:26" x14ac:dyDescent="0.35">
      <c r="B12" s="29"/>
      <c r="C12" s="68"/>
      <c r="D12" s="253" t="s">
        <v>109</v>
      </c>
      <c r="E12" s="247">
        <f t="shared" ref="E12:E16" si="2">SUMIF($G$31:$G$405,D12,$L$31:$L$405)</f>
        <v>0</v>
      </c>
      <c r="F12" s="247">
        <f>0%</f>
        <v>0</v>
      </c>
      <c r="G12" s="248">
        <f t="shared" si="1"/>
        <v>0</v>
      </c>
      <c r="H12" s="433"/>
      <c r="I12" s="434"/>
      <c r="K12" s="341" t="s">
        <v>27</v>
      </c>
      <c r="L12" s="342">
        <f t="shared" si="0"/>
        <v>0</v>
      </c>
      <c r="M12" s="343">
        <f>'Project Plan - Rapid'!L39</f>
        <v>0</v>
      </c>
      <c r="N12" s="74"/>
      <c r="O12" s="74"/>
      <c r="P12" s="74"/>
      <c r="Q12" s="74"/>
      <c r="R12" s="74"/>
      <c r="S12" s="74"/>
      <c r="T12" s="74"/>
      <c r="U12" s="74"/>
      <c r="V12" s="74"/>
      <c r="W12" s="74"/>
      <c r="X12" s="74"/>
      <c r="Z12" s="26"/>
    </row>
    <row r="13" spans="2:26" x14ac:dyDescent="0.35">
      <c r="B13" s="29"/>
      <c r="C13" s="68"/>
      <c r="D13" s="253" t="s">
        <v>25</v>
      </c>
      <c r="E13" s="247">
        <f>SUMIF($G$31:$G$405,D13,$L$31:$L$405)</f>
        <v>0.2</v>
      </c>
      <c r="F13" s="247">
        <f>L10+L14</f>
        <v>0.2</v>
      </c>
      <c r="G13" s="248">
        <f t="shared" si="1"/>
        <v>0</v>
      </c>
      <c r="H13" s="433"/>
      <c r="I13" s="434"/>
      <c r="K13" s="341" t="s">
        <v>28</v>
      </c>
      <c r="L13" s="342">
        <f t="shared" si="0"/>
        <v>0</v>
      </c>
      <c r="M13" s="343">
        <f>'Project Plan - Rapid'!M39</f>
        <v>0</v>
      </c>
      <c r="N13" s="74"/>
      <c r="O13" s="74"/>
      <c r="P13" s="74"/>
      <c r="Q13" s="74"/>
      <c r="R13" s="74"/>
      <c r="S13" s="74"/>
      <c r="T13" s="74"/>
      <c r="U13" s="74"/>
      <c r="V13" s="74"/>
      <c r="W13" s="74"/>
      <c r="X13" s="74"/>
      <c r="Z13" s="26"/>
    </row>
    <row r="14" spans="2:26" x14ac:dyDescent="0.35">
      <c r="B14" s="29"/>
      <c r="C14" s="68"/>
      <c r="D14" s="253" t="s">
        <v>26</v>
      </c>
      <c r="E14" s="247">
        <f t="shared" si="2"/>
        <v>0.5</v>
      </c>
      <c r="F14" s="247">
        <f>L11+L15</f>
        <v>0.5</v>
      </c>
      <c r="G14" s="248">
        <f t="shared" si="1"/>
        <v>0</v>
      </c>
      <c r="H14" s="433"/>
      <c r="I14" s="434"/>
      <c r="K14" s="341" t="s">
        <v>29</v>
      </c>
      <c r="L14" s="342">
        <f t="shared" si="0"/>
        <v>0</v>
      </c>
      <c r="M14" s="343">
        <f>'Project Plan - Rapid'!N39</f>
        <v>0</v>
      </c>
      <c r="N14" s="74"/>
      <c r="O14" s="74"/>
      <c r="P14" s="74"/>
      <c r="Q14" s="74"/>
      <c r="R14" s="74"/>
      <c r="S14" s="74"/>
      <c r="T14" s="74"/>
      <c r="U14" s="74"/>
      <c r="V14" s="74"/>
      <c r="W14" s="74"/>
      <c r="X14" s="74"/>
      <c r="Z14" s="26"/>
    </row>
    <row r="15" spans="2:26" x14ac:dyDescent="0.35">
      <c r="B15" s="29"/>
      <c r="C15" s="68"/>
      <c r="D15" s="253" t="s">
        <v>27</v>
      </c>
      <c r="E15" s="247">
        <f t="shared" si="2"/>
        <v>0.25</v>
      </c>
      <c r="F15" s="247">
        <f>L12+L16</f>
        <v>0.25</v>
      </c>
      <c r="G15" s="248">
        <f t="shared" si="1"/>
        <v>0</v>
      </c>
      <c r="H15" s="433"/>
      <c r="I15" s="434"/>
      <c r="J15" s="254"/>
      <c r="K15" s="341" t="s">
        <v>30</v>
      </c>
      <c r="L15" s="342">
        <f t="shared" si="0"/>
        <v>0.25</v>
      </c>
      <c r="M15" s="343">
        <f>'Project Plan - Rapid'!O39</f>
        <v>180</v>
      </c>
      <c r="N15" s="74"/>
      <c r="O15" s="74"/>
      <c r="P15" s="74"/>
      <c r="Q15" s="74"/>
      <c r="R15" s="74"/>
      <c r="S15" s="74"/>
      <c r="T15" s="74"/>
      <c r="U15" s="74"/>
      <c r="V15" s="74"/>
      <c r="W15" s="74"/>
      <c r="X15" s="74"/>
      <c r="Z15" s="26"/>
    </row>
    <row r="16" spans="2:26" x14ac:dyDescent="0.35">
      <c r="B16" s="29"/>
      <c r="C16" s="68"/>
      <c r="D16" s="253" t="s">
        <v>28</v>
      </c>
      <c r="E16" s="247">
        <f t="shared" si="2"/>
        <v>0</v>
      </c>
      <c r="F16" s="247">
        <f>L13</f>
        <v>0</v>
      </c>
      <c r="G16" s="248">
        <f t="shared" si="1"/>
        <v>0</v>
      </c>
      <c r="H16" s="433"/>
      <c r="I16" s="434"/>
      <c r="J16" s="254"/>
      <c r="K16" s="341" t="s">
        <v>31</v>
      </c>
      <c r="L16" s="342">
        <f t="shared" si="0"/>
        <v>0.25</v>
      </c>
      <c r="M16" s="343">
        <f>'Project Plan - Rapid'!P39</f>
        <v>180</v>
      </c>
      <c r="N16" s="185"/>
      <c r="X16" s="74"/>
      <c r="Y16" s="60"/>
      <c r="Z16" s="26"/>
    </row>
    <row r="17" spans="2:26" x14ac:dyDescent="0.35">
      <c r="B17" s="29"/>
      <c r="C17" s="111"/>
      <c r="D17" s="113"/>
      <c r="E17" s="113"/>
      <c r="F17" s="113"/>
      <c r="G17" s="113"/>
      <c r="H17" s="113"/>
      <c r="I17" s="113"/>
      <c r="J17" s="113"/>
      <c r="K17" s="113"/>
      <c r="L17" s="113"/>
      <c r="M17" s="113"/>
      <c r="N17" s="113"/>
      <c r="O17" s="113"/>
      <c r="P17" s="113"/>
      <c r="Q17" s="113"/>
      <c r="R17" s="113"/>
      <c r="S17" s="113"/>
      <c r="T17" s="113"/>
      <c r="U17" s="113"/>
      <c r="V17" s="113"/>
      <c r="W17" s="113"/>
      <c r="X17" s="115"/>
      <c r="Y17" s="118"/>
      <c r="Z17" s="26"/>
    </row>
    <row r="18" spans="2:26" x14ac:dyDescent="0.35">
      <c r="B18" s="25"/>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26"/>
    </row>
    <row r="19" spans="2:26" x14ac:dyDescent="0.35">
      <c r="B19" s="29"/>
      <c r="C19" s="437" t="s">
        <v>146</v>
      </c>
      <c r="D19" s="438"/>
      <c r="E19" s="438"/>
      <c r="F19" s="438"/>
      <c r="G19" s="438"/>
      <c r="H19" s="438"/>
      <c r="I19" s="438"/>
      <c r="J19" s="438"/>
      <c r="K19" s="438"/>
      <c r="L19" s="438"/>
      <c r="M19" s="438"/>
      <c r="N19" s="438"/>
      <c r="O19" s="438"/>
      <c r="P19" s="438"/>
      <c r="Q19" s="438"/>
      <c r="R19" s="438"/>
      <c r="S19" s="438"/>
      <c r="T19" s="438"/>
      <c r="U19" s="438"/>
      <c r="V19" s="438"/>
      <c r="W19" s="438"/>
      <c r="X19" s="438"/>
      <c r="Y19" s="439"/>
      <c r="Z19" s="26"/>
    </row>
    <row r="20" spans="2:26" x14ac:dyDescent="0.35">
      <c r="B20" s="29"/>
      <c r="C20" s="440"/>
      <c r="D20" s="441"/>
      <c r="E20" s="441"/>
      <c r="F20" s="441"/>
      <c r="G20" s="441"/>
      <c r="H20" s="441"/>
      <c r="I20" s="441"/>
      <c r="J20" s="441"/>
      <c r="K20" s="441"/>
      <c r="L20" s="441"/>
      <c r="M20" s="441"/>
      <c r="N20" s="441"/>
      <c r="O20" s="441"/>
      <c r="P20" s="441"/>
      <c r="Q20" s="441"/>
      <c r="R20" s="441"/>
      <c r="S20" s="441"/>
      <c r="T20" s="441"/>
      <c r="U20" s="441"/>
      <c r="V20" s="441"/>
      <c r="W20" s="441"/>
      <c r="X20" s="441"/>
      <c r="Y20" s="442"/>
      <c r="Z20" s="26"/>
    </row>
    <row r="21" spans="2:26" ht="26.15" customHeight="1" x14ac:dyDescent="0.35">
      <c r="B21" s="29"/>
      <c r="C21" s="443" t="s">
        <v>147</v>
      </c>
      <c r="D21" s="444"/>
      <c r="E21" s="444"/>
      <c r="F21" s="444"/>
      <c r="G21" s="444"/>
      <c r="H21" s="444"/>
      <c r="I21" s="444"/>
      <c r="J21" s="444"/>
      <c r="K21" s="444"/>
      <c r="L21" s="257"/>
      <c r="M21" s="257"/>
      <c r="N21" s="257"/>
      <c r="O21" s="257"/>
      <c r="P21" s="257"/>
      <c r="Q21" s="257"/>
      <c r="R21" s="257"/>
      <c r="S21" s="257"/>
      <c r="T21" s="257"/>
      <c r="U21" s="257"/>
      <c r="V21" s="257"/>
      <c r="W21" s="257"/>
      <c r="X21" s="257"/>
      <c r="Y21" s="258"/>
      <c r="Z21" s="26"/>
    </row>
    <row r="22" spans="2:26" ht="26.15" customHeight="1" x14ac:dyDescent="0.35">
      <c r="B22" s="29"/>
      <c r="C22" s="445"/>
      <c r="D22" s="446"/>
      <c r="E22" s="446"/>
      <c r="F22" s="446"/>
      <c r="G22" s="446"/>
      <c r="H22" s="446"/>
      <c r="I22" s="446"/>
      <c r="J22" s="446"/>
      <c r="K22" s="446"/>
      <c r="L22" s="255"/>
      <c r="M22" s="255"/>
      <c r="N22" s="255"/>
      <c r="O22" s="255"/>
      <c r="P22" s="255"/>
      <c r="Q22" s="255"/>
      <c r="R22" s="255"/>
      <c r="S22" s="255"/>
      <c r="T22" s="255"/>
      <c r="U22" s="255"/>
      <c r="V22" s="255"/>
      <c r="W22" s="255"/>
      <c r="X22" s="255"/>
      <c r="Y22" s="259"/>
      <c r="Z22" s="26"/>
    </row>
    <row r="23" spans="2:26" ht="29.5" customHeight="1" x14ac:dyDescent="0.35">
      <c r="B23" s="29"/>
      <c r="C23" s="260"/>
      <c r="D23" s="394" t="s">
        <v>148</v>
      </c>
      <c r="E23" s="395"/>
      <c r="F23" s="261"/>
      <c r="G23" s="347" t="s">
        <v>149</v>
      </c>
      <c r="H23" s="348"/>
      <c r="I23" s="349" t="s">
        <v>150</v>
      </c>
      <c r="J23" s="349" t="s">
        <v>151</v>
      </c>
      <c r="K23" s="262"/>
      <c r="L23" s="262"/>
      <c r="M23" s="262"/>
      <c r="N23" s="262"/>
      <c r="O23" s="262"/>
      <c r="P23" s="262"/>
      <c r="Q23" s="262"/>
      <c r="R23" s="262"/>
      <c r="S23" s="262"/>
      <c r="T23" s="262"/>
      <c r="U23" s="262"/>
      <c r="V23" s="262"/>
      <c r="W23" s="262"/>
      <c r="X23" s="262"/>
      <c r="Y23" s="259"/>
      <c r="Z23" s="26"/>
    </row>
    <row r="24" spans="2:26" ht="14.9" customHeight="1" x14ac:dyDescent="0.35">
      <c r="B24" s="29"/>
      <c r="C24" s="263"/>
      <c r="D24" s="264" t="s">
        <v>152</v>
      </c>
      <c r="E24" s="265">
        <v>0.55000000000000004</v>
      </c>
      <c r="F24" s="266"/>
      <c r="G24" s="447" t="s">
        <v>153</v>
      </c>
      <c r="H24" s="448"/>
      <c r="I24" s="267">
        <f>I25/(1-E24)</f>
        <v>165280.00000000003</v>
      </c>
      <c r="J24" s="267">
        <f>J25/(1-E24)</f>
        <v>165280.00000000003</v>
      </c>
      <c r="K24" s="449"/>
      <c r="L24" s="449"/>
      <c r="M24" s="449"/>
      <c r="N24" s="449"/>
      <c r="O24" s="449"/>
      <c r="P24" s="255"/>
      <c r="Q24" s="450"/>
      <c r="R24" s="450"/>
      <c r="S24" s="268"/>
      <c r="T24" s="268"/>
      <c r="U24" s="269"/>
      <c r="V24" s="449"/>
      <c r="W24" s="449"/>
      <c r="X24" s="449"/>
      <c r="Y24" s="270"/>
      <c r="Z24" s="26"/>
    </row>
    <row r="25" spans="2:26" ht="14.9" customHeight="1" x14ac:dyDescent="0.35">
      <c r="B25" s="29"/>
      <c r="C25" s="263"/>
      <c r="D25" s="264" t="s">
        <v>154</v>
      </c>
      <c r="E25" s="265">
        <v>0.1</v>
      </c>
      <c r="F25" s="266"/>
      <c r="G25" s="451" t="s">
        <v>155</v>
      </c>
      <c r="H25" s="452"/>
      <c r="I25" s="271">
        <f>SUM(K31:K38)</f>
        <v>74376</v>
      </c>
      <c r="J25" s="271">
        <f>'Project Plan - Rapid'!F39</f>
        <v>74376</v>
      </c>
      <c r="K25" s="449"/>
      <c r="L25" s="449"/>
      <c r="M25" s="449"/>
      <c r="N25" s="449"/>
      <c r="O25" s="449"/>
      <c r="P25" s="255"/>
      <c r="Q25" s="453"/>
      <c r="R25" s="453"/>
      <c r="S25" s="272"/>
      <c r="T25" s="273"/>
      <c r="U25" s="273"/>
      <c r="V25" s="454"/>
      <c r="W25" s="454"/>
      <c r="X25" s="454"/>
      <c r="Y25" s="270"/>
      <c r="Z25" s="26"/>
    </row>
    <row r="26" spans="2:26" ht="14.9" customHeight="1" x14ac:dyDescent="0.35">
      <c r="B26" s="29"/>
      <c r="C26" s="263"/>
      <c r="D26" s="274"/>
      <c r="E26" s="275"/>
      <c r="F26" s="276"/>
      <c r="G26" s="451" t="s">
        <v>156</v>
      </c>
      <c r="H26" s="452"/>
      <c r="I26" s="267">
        <f>I24-I25</f>
        <v>90904.000000000029</v>
      </c>
      <c r="J26" s="267">
        <f>J24-J25</f>
        <v>90904.000000000029</v>
      </c>
      <c r="K26" s="272"/>
      <c r="L26" s="454"/>
      <c r="M26" s="454"/>
      <c r="N26" s="454"/>
      <c r="O26" s="454"/>
      <c r="P26" s="255"/>
      <c r="Q26" s="453"/>
      <c r="R26" s="453"/>
      <c r="S26" s="272"/>
      <c r="T26" s="273"/>
      <c r="U26" s="273"/>
      <c r="V26" s="454"/>
      <c r="W26" s="454"/>
      <c r="X26" s="454"/>
      <c r="Y26" s="270"/>
      <c r="Z26" s="26"/>
    </row>
    <row r="27" spans="2:26" ht="14.9" customHeight="1" x14ac:dyDescent="0.35">
      <c r="B27" s="29"/>
      <c r="C27" s="263"/>
      <c r="D27" s="390"/>
      <c r="E27" s="390"/>
      <c r="F27" s="455"/>
      <c r="G27" s="451" t="s">
        <v>157</v>
      </c>
      <c r="H27" s="452"/>
      <c r="I27" s="271">
        <f>I24*E25</f>
        <v>16528.000000000004</v>
      </c>
      <c r="J27" s="271">
        <f>I24*E25</f>
        <v>16528.000000000004</v>
      </c>
      <c r="K27" s="273"/>
      <c r="L27" s="454"/>
      <c r="M27" s="454"/>
      <c r="N27" s="454"/>
      <c r="O27" s="454"/>
      <c r="P27" s="255"/>
      <c r="Q27" s="453"/>
      <c r="R27" s="453"/>
      <c r="S27" s="272"/>
      <c r="T27" s="273"/>
      <c r="U27" s="273"/>
      <c r="V27" s="454"/>
      <c r="W27" s="454"/>
      <c r="X27" s="454"/>
      <c r="Y27" s="270"/>
      <c r="Z27" s="26"/>
    </row>
    <row r="28" spans="2:26" ht="14.9" customHeight="1" x14ac:dyDescent="0.35">
      <c r="B28" s="29"/>
      <c r="C28" s="263"/>
      <c r="D28" s="268"/>
      <c r="E28" s="272"/>
      <c r="F28" s="455"/>
      <c r="G28" s="456" t="s">
        <v>158</v>
      </c>
      <c r="H28" s="457"/>
      <c r="I28" s="277">
        <f>I24+I27</f>
        <v>181808.00000000003</v>
      </c>
      <c r="J28" s="277">
        <f>J24+J27</f>
        <v>181808.00000000003</v>
      </c>
      <c r="K28" s="278"/>
      <c r="L28" s="255"/>
      <c r="M28" s="255"/>
      <c r="N28" s="255"/>
      <c r="O28" s="255"/>
      <c r="P28" s="255"/>
      <c r="Q28" s="453"/>
      <c r="R28" s="453"/>
      <c r="S28" s="272"/>
      <c r="T28" s="273"/>
      <c r="U28" s="273"/>
      <c r="V28" s="454"/>
      <c r="W28" s="454"/>
      <c r="X28" s="454"/>
      <c r="Y28" s="270"/>
      <c r="Z28" s="26"/>
    </row>
    <row r="29" spans="2:26" x14ac:dyDescent="0.35">
      <c r="B29" s="29"/>
      <c r="C29" s="263"/>
      <c r="D29" s="268"/>
      <c r="E29" s="272"/>
      <c r="F29" s="272"/>
      <c r="G29" s="255"/>
      <c r="H29" s="255"/>
      <c r="I29" s="255"/>
      <c r="J29" s="255"/>
      <c r="K29" s="255"/>
      <c r="L29" s="255"/>
      <c r="M29" s="255"/>
      <c r="N29" s="255"/>
      <c r="O29" s="255"/>
      <c r="P29" s="255"/>
      <c r="Q29" s="279"/>
      <c r="R29" s="255"/>
      <c r="S29" s="255"/>
      <c r="T29" s="255"/>
      <c r="U29" s="255"/>
      <c r="V29" s="255"/>
      <c r="W29" s="255"/>
      <c r="X29" s="255"/>
      <c r="Y29" s="270"/>
      <c r="Z29" s="26"/>
    </row>
    <row r="30" spans="2:26" s="285" customFormat="1" x14ac:dyDescent="0.35">
      <c r="B30" s="280"/>
      <c r="C30" s="281"/>
      <c r="D30" s="264" t="s">
        <v>93</v>
      </c>
      <c r="E30" s="264" t="s">
        <v>159</v>
      </c>
      <c r="F30" s="264" t="s">
        <v>94</v>
      </c>
      <c r="G30" s="264" t="s">
        <v>160</v>
      </c>
      <c r="H30" s="264" t="s">
        <v>161</v>
      </c>
      <c r="I30" s="264" t="s">
        <v>162</v>
      </c>
      <c r="J30" s="264" t="s">
        <v>163</v>
      </c>
      <c r="K30" s="264" t="s">
        <v>155</v>
      </c>
      <c r="L30" s="264" t="s">
        <v>164</v>
      </c>
      <c r="M30" s="264" t="s">
        <v>143</v>
      </c>
      <c r="N30" s="282" t="s">
        <v>165</v>
      </c>
      <c r="O30" s="282" t="s">
        <v>166</v>
      </c>
      <c r="P30" s="282" t="s">
        <v>167</v>
      </c>
      <c r="Q30" s="282" t="s">
        <v>168</v>
      </c>
      <c r="R30" s="282" t="s">
        <v>169</v>
      </c>
      <c r="S30" s="282" t="s">
        <v>170</v>
      </c>
      <c r="T30" s="282" t="s">
        <v>171</v>
      </c>
      <c r="U30" s="282" t="s">
        <v>172</v>
      </c>
      <c r="V30" s="282" t="s">
        <v>173</v>
      </c>
      <c r="W30" s="282" t="s">
        <v>174</v>
      </c>
      <c r="X30" s="282" t="s">
        <v>175</v>
      </c>
      <c r="Y30" s="283"/>
      <c r="Z30" s="284"/>
    </row>
    <row r="31" spans="2:26" x14ac:dyDescent="0.35">
      <c r="B31" s="29"/>
      <c r="C31" s="68"/>
      <c r="D31" s="286" t="s">
        <v>100</v>
      </c>
      <c r="E31" s="286" t="s">
        <v>102</v>
      </c>
      <c r="F31" s="221" t="str">
        <f>IF(D31=0,"",VLOOKUP(D31,Resources,2,FALSE))</f>
        <v>Partner 1</v>
      </c>
      <c r="G31" s="221" t="str">
        <f t="shared" ref="G31:G38" si="3">IF(D31=0,"",VLOOKUP(D31,Resources,3,FALSE))</f>
        <v>Partner</v>
      </c>
      <c r="H31" s="221" t="str">
        <f t="shared" ref="H31:H38" si="4">IF(D31=0,"",VLOOKUP(D31,Resources,4,FALSE))</f>
        <v>United States</v>
      </c>
      <c r="I31" s="221" t="str">
        <f t="shared" ref="I31:I38" si="5">IF(D31=0,"",VLOOKUP(D31,Resources,5,FALSE))</f>
        <v>Supply Chain</v>
      </c>
      <c r="J31" s="287">
        <f>IF(D31=0,"",VLOOKUP(D31,Resources,6,FALSE))</f>
        <v>617</v>
      </c>
      <c r="K31" s="287">
        <f t="shared" ref="K31:K34" si="6">IF(AND(M31&lt;&gt;"",J31&lt;&gt;""),M31*J31,"")</f>
        <v>22212</v>
      </c>
      <c r="L31" s="288">
        <f t="shared" ref="L31:L36" si="7">M31/(SUM($M$31:$M$40))</f>
        <v>0.05</v>
      </c>
      <c r="M31" s="289">
        <f t="shared" ref="M31:M36" si="8">SUM(N31:U31)</f>
        <v>36</v>
      </c>
      <c r="N31" s="249">
        <v>0</v>
      </c>
      <c r="O31" s="249">
        <v>0</v>
      </c>
      <c r="P31" s="250">
        <v>9</v>
      </c>
      <c r="Q31" s="250">
        <v>9</v>
      </c>
      <c r="R31" s="250">
        <v>9</v>
      </c>
      <c r="S31" s="250">
        <v>9</v>
      </c>
      <c r="T31" s="250"/>
      <c r="U31" s="250"/>
      <c r="V31" s="249"/>
      <c r="W31" s="249"/>
      <c r="X31" s="249"/>
      <c r="Y31" s="60"/>
      <c r="Z31" s="26"/>
    </row>
    <row r="32" spans="2:26" x14ac:dyDescent="0.35">
      <c r="B32" s="29"/>
      <c r="C32" s="68"/>
      <c r="D32" s="286" t="s">
        <v>103</v>
      </c>
      <c r="E32" s="286" t="s">
        <v>102</v>
      </c>
      <c r="F32" s="221" t="str">
        <f t="shared" ref="F32:F38" si="9">IF(D32=0,"",VLOOKUP(D32,Resources,2,FALSE))</f>
        <v>Senior Manager 1</v>
      </c>
      <c r="G32" s="221" t="str">
        <f t="shared" si="3"/>
        <v>Senior Manager</v>
      </c>
      <c r="H32" s="221" t="str">
        <f t="shared" si="4"/>
        <v>United States</v>
      </c>
      <c r="I32" s="221" t="str">
        <f t="shared" si="5"/>
        <v>Supply Chain</v>
      </c>
      <c r="J32" s="287">
        <f>IF(D32=0,"",VLOOKUP(D32,Resources,6,FALSE))</f>
        <v>171</v>
      </c>
      <c r="K32" s="287">
        <f t="shared" si="6"/>
        <v>2736</v>
      </c>
      <c r="L32" s="288">
        <f t="shared" si="7"/>
        <v>2.2222222222222223E-2</v>
      </c>
      <c r="M32" s="289">
        <f t="shared" si="8"/>
        <v>16</v>
      </c>
      <c r="N32" s="249">
        <v>0</v>
      </c>
      <c r="O32" s="249">
        <v>0</v>
      </c>
      <c r="P32" s="250">
        <v>4</v>
      </c>
      <c r="Q32" s="250">
        <v>4</v>
      </c>
      <c r="R32" s="250">
        <v>4</v>
      </c>
      <c r="S32" s="250">
        <v>4</v>
      </c>
      <c r="T32" s="250"/>
      <c r="U32" s="250"/>
      <c r="V32" s="249"/>
      <c r="W32" s="249"/>
      <c r="X32" s="249"/>
      <c r="Y32" s="60"/>
      <c r="Z32" s="26"/>
    </row>
    <row r="33" spans="2:26" x14ac:dyDescent="0.35">
      <c r="B33" s="29"/>
      <c r="C33" s="68"/>
      <c r="D33" s="286" t="s">
        <v>105</v>
      </c>
      <c r="E33" s="286" t="s">
        <v>102</v>
      </c>
      <c r="F33" s="221" t="str">
        <f t="shared" si="9"/>
        <v>Senior Manager 2</v>
      </c>
      <c r="G33" s="221" t="str">
        <f t="shared" si="3"/>
        <v>Senior Manager</v>
      </c>
      <c r="H33" s="221" t="str">
        <f t="shared" si="4"/>
        <v>United States</v>
      </c>
      <c r="I33" s="221" t="str">
        <f t="shared" si="5"/>
        <v>Supply Chain</v>
      </c>
      <c r="J33" s="287">
        <f>IF(D33=0,"",VLOOKUP(D33,Resources,6,FALSE))</f>
        <v>171</v>
      </c>
      <c r="K33" s="287">
        <f t="shared" si="6"/>
        <v>21888</v>
      </c>
      <c r="L33" s="288">
        <f t="shared" si="7"/>
        <v>0.17777777777777778</v>
      </c>
      <c r="M33" s="289">
        <f t="shared" si="8"/>
        <v>128</v>
      </c>
      <c r="N33" s="249">
        <v>0</v>
      </c>
      <c r="O33" s="249">
        <v>0</v>
      </c>
      <c r="P33" s="250">
        <v>32</v>
      </c>
      <c r="Q33" s="250">
        <v>32</v>
      </c>
      <c r="R33" s="250">
        <v>32</v>
      </c>
      <c r="S33" s="250">
        <v>32</v>
      </c>
      <c r="T33" s="250"/>
      <c r="U33" s="250"/>
      <c r="V33" s="249"/>
      <c r="W33" s="249"/>
      <c r="X33" s="249"/>
      <c r="Y33" s="60"/>
      <c r="Z33" s="26"/>
    </row>
    <row r="34" spans="2:26" x14ac:dyDescent="0.35">
      <c r="B34" s="29"/>
      <c r="C34" s="68"/>
      <c r="D34" s="286" t="s">
        <v>107</v>
      </c>
      <c r="E34" s="286" t="s">
        <v>102</v>
      </c>
      <c r="F34" s="221" t="str">
        <f t="shared" si="9"/>
        <v>Manager 1</v>
      </c>
      <c r="G34" s="221" t="str">
        <f t="shared" si="3"/>
        <v>Manager</v>
      </c>
      <c r="H34" s="221" t="str">
        <f t="shared" si="4"/>
        <v>United States</v>
      </c>
      <c r="I34" s="221" t="str">
        <f t="shared" si="5"/>
        <v>Supply Chain</v>
      </c>
      <c r="J34" s="287">
        <f>IF(D34=0,"",VLOOKUP(D34,Resources,6,FALSE))</f>
        <v>98</v>
      </c>
      <c r="K34" s="287">
        <f t="shared" si="6"/>
        <v>17640</v>
      </c>
      <c r="L34" s="288">
        <f t="shared" si="7"/>
        <v>0.25</v>
      </c>
      <c r="M34" s="289">
        <f t="shared" si="8"/>
        <v>180</v>
      </c>
      <c r="N34" s="249">
        <v>0</v>
      </c>
      <c r="O34" s="249">
        <v>0</v>
      </c>
      <c r="P34" s="250">
        <v>45</v>
      </c>
      <c r="Q34" s="250">
        <v>45</v>
      </c>
      <c r="R34" s="250">
        <v>45</v>
      </c>
      <c r="S34" s="250">
        <v>45</v>
      </c>
      <c r="T34" s="250"/>
      <c r="U34" s="250"/>
      <c r="V34" s="249"/>
      <c r="W34" s="249"/>
      <c r="X34" s="249"/>
      <c r="Y34" s="60"/>
      <c r="Z34" s="26"/>
    </row>
    <row r="35" spans="2:26" x14ac:dyDescent="0.35">
      <c r="B35" s="29"/>
      <c r="C35" s="68"/>
      <c r="D35" s="286" t="s">
        <v>118</v>
      </c>
      <c r="E35" s="286" t="s">
        <v>176</v>
      </c>
      <c r="F35" s="221" t="str">
        <f t="shared" si="9"/>
        <v>GDS Manager</v>
      </c>
      <c r="G35" s="221" t="str">
        <f t="shared" si="3"/>
        <v>Manager</v>
      </c>
      <c r="H35" s="221" t="str">
        <f t="shared" si="4"/>
        <v>India</v>
      </c>
      <c r="I35" s="221" t="str">
        <f t="shared" si="5"/>
        <v>GDS</v>
      </c>
      <c r="J35" s="287">
        <f>IF(D35=0,"",VLOOKUP(D35,Resources,6,FALSE))</f>
        <v>34</v>
      </c>
      <c r="K35" s="287">
        <f>IF(AND(M35&lt;&gt;"",J35&lt;&gt;""),M35*J35,"")</f>
        <v>6120</v>
      </c>
      <c r="L35" s="288">
        <f t="shared" si="7"/>
        <v>0.25</v>
      </c>
      <c r="M35" s="289">
        <f t="shared" si="8"/>
        <v>180</v>
      </c>
      <c r="N35" s="249">
        <v>0</v>
      </c>
      <c r="O35" s="249">
        <v>0</v>
      </c>
      <c r="P35" s="250">
        <v>45</v>
      </c>
      <c r="Q35" s="250">
        <v>45</v>
      </c>
      <c r="R35" s="250">
        <v>45</v>
      </c>
      <c r="S35" s="250">
        <v>45</v>
      </c>
      <c r="T35" s="250"/>
      <c r="U35" s="250"/>
      <c r="V35" s="249"/>
      <c r="W35" s="249"/>
      <c r="X35" s="249"/>
      <c r="Y35" s="60"/>
      <c r="Z35" s="26"/>
    </row>
    <row r="36" spans="2:26" x14ac:dyDescent="0.35">
      <c r="B36" s="29"/>
      <c r="C36" s="68"/>
      <c r="D36" s="286" t="s">
        <v>119</v>
      </c>
      <c r="E36" s="286" t="s">
        <v>176</v>
      </c>
      <c r="F36" s="221" t="str">
        <f t="shared" si="9"/>
        <v>GDS Senior</v>
      </c>
      <c r="G36" s="221" t="str">
        <f t="shared" si="3"/>
        <v>Senior</v>
      </c>
      <c r="H36" s="221" t="str">
        <f t="shared" si="4"/>
        <v>India</v>
      </c>
      <c r="I36" s="221" t="str">
        <f t="shared" si="5"/>
        <v>GDS</v>
      </c>
      <c r="J36" s="287">
        <f>VLOOKUP(D36,'Rate Card'!$D$13:$I$63,6)</f>
        <v>21</v>
      </c>
      <c r="K36" s="287">
        <f t="shared" ref="K36" si="10">IF(AND(M36&lt;&gt;"",J36&lt;&gt;""),M36*J36,"")</f>
        <v>3780</v>
      </c>
      <c r="L36" s="288">
        <f t="shared" si="7"/>
        <v>0.25</v>
      </c>
      <c r="M36" s="289">
        <f t="shared" si="8"/>
        <v>180</v>
      </c>
      <c r="N36" s="249">
        <v>0</v>
      </c>
      <c r="O36" s="249">
        <v>0</v>
      </c>
      <c r="P36" s="250">
        <v>45</v>
      </c>
      <c r="Q36" s="250">
        <v>45</v>
      </c>
      <c r="R36" s="250">
        <v>45</v>
      </c>
      <c r="S36" s="250">
        <v>45</v>
      </c>
      <c r="T36" s="250"/>
      <c r="U36" s="250"/>
      <c r="V36" s="249"/>
      <c r="W36" s="249"/>
      <c r="X36" s="249"/>
      <c r="Y36" s="60"/>
      <c r="Z36" s="26"/>
    </row>
    <row r="37" spans="2:26" x14ac:dyDescent="0.35">
      <c r="B37" s="29"/>
      <c r="C37" s="68"/>
      <c r="D37" s="286"/>
      <c r="E37" s="286"/>
      <c r="F37" s="221" t="str">
        <f t="shared" si="9"/>
        <v/>
      </c>
      <c r="G37" s="221" t="str">
        <f t="shared" si="3"/>
        <v/>
      </c>
      <c r="H37" s="221" t="str">
        <f t="shared" si="4"/>
        <v/>
      </c>
      <c r="I37" s="221" t="str">
        <f t="shared" si="5"/>
        <v/>
      </c>
      <c r="J37" s="287"/>
      <c r="K37" s="287"/>
      <c r="L37" s="288"/>
      <c r="M37" s="289"/>
      <c r="N37" s="249"/>
      <c r="O37" s="249"/>
      <c r="P37" s="249"/>
      <c r="Q37" s="249"/>
      <c r="R37" s="249"/>
      <c r="S37" s="249"/>
      <c r="T37" s="249"/>
      <c r="U37" s="249"/>
      <c r="V37" s="249"/>
      <c r="W37" s="249"/>
      <c r="X37" s="249"/>
      <c r="Y37" s="60"/>
      <c r="Z37" s="26"/>
    </row>
    <row r="38" spans="2:26" x14ac:dyDescent="0.35">
      <c r="B38" s="29"/>
      <c r="C38" s="68"/>
      <c r="D38" s="286"/>
      <c r="E38" s="286" t="str">
        <f>IF(D38=0,"",IF(VLOOKUP(D38,Resources,2,FALSE)=0,"",VLOOKUP(D38,Resources,2,FALSE)))</f>
        <v/>
      </c>
      <c r="F38" s="221" t="str">
        <f t="shared" si="9"/>
        <v/>
      </c>
      <c r="G38" s="221" t="str">
        <f t="shared" si="3"/>
        <v/>
      </c>
      <c r="H38" s="221" t="str">
        <f t="shared" si="4"/>
        <v/>
      </c>
      <c r="I38" s="221" t="str">
        <f t="shared" si="5"/>
        <v/>
      </c>
      <c r="J38" s="287" t="str">
        <f>IF(D38=0,"",VLOOKUP(D38,Resources,7,FALSE))</f>
        <v/>
      </c>
      <c r="K38" s="287" t="str">
        <f>IF(AND(M38&lt;&gt;"",J38&lt;&gt;""),M38*J38,"")</f>
        <v/>
      </c>
      <c r="L38" s="288"/>
      <c r="M38" s="289" t="str">
        <f>IF(SUM(N38:X38)=0,"",SUM(N38:X38))</f>
        <v/>
      </c>
      <c r="N38" s="249"/>
      <c r="O38" s="249"/>
      <c r="P38" s="249"/>
      <c r="Q38" s="249"/>
      <c r="R38" s="249"/>
      <c r="S38" s="249"/>
      <c r="T38" s="249"/>
      <c r="U38" s="249"/>
      <c r="V38" s="249"/>
      <c r="W38" s="249"/>
      <c r="X38" s="249"/>
      <c r="Y38" s="60"/>
      <c r="Z38" s="26"/>
    </row>
    <row r="39" spans="2:26" x14ac:dyDescent="0.35">
      <c r="B39" s="29"/>
      <c r="C39" s="111"/>
      <c r="D39" s="113"/>
      <c r="E39" s="113"/>
      <c r="F39" s="113"/>
      <c r="G39" s="113"/>
      <c r="H39" s="113"/>
      <c r="I39" s="113"/>
      <c r="J39" s="113"/>
      <c r="K39" s="113"/>
      <c r="L39" s="113"/>
      <c r="M39" s="113"/>
      <c r="N39" s="113"/>
      <c r="O39" s="113"/>
      <c r="P39" s="113"/>
      <c r="Q39" s="113"/>
      <c r="R39" s="113"/>
      <c r="S39" s="113"/>
      <c r="T39" s="113"/>
      <c r="U39" s="113"/>
      <c r="V39" s="113"/>
      <c r="W39" s="113"/>
      <c r="X39" s="114"/>
      <c r="Y39" s="118"/>
      <c r="Z39" s="26"/>
    </row>
    <row r="40" spans="2:26" x14ac:dyDescent="0.35">
      <c r="B40" s="25"/>
      <c r="C40" s="152"/>
      <c r="D40" s="152"/>
      <c r="E40" s="152"/>
      <c r="F40" s="152"/>
      <c r="G40" s="152"/>
      <c r="H40" s="152"/>
      <c r="I40" s="152"/>
      <c r="J40" s="152"/>
      <c r="K40" s="152"/>
      <c r="L40" s="152"/>
      <c r="M40" s="152"/>
      <c r="N40" s="152"/>
      <c r="O40" s="152"/>
      <c r="P40" s="152"/>
      <c r="Q40" s="152"/>
      <c r="R40" s="152"/>
      <c r="S40" s="152"/>
      <c r="T40" s="152"/>
      <c r="U40" s="152"/>
      <c r="V40" s="152"/>
      <c r="W40" s="152"/>
      <c r="X40" s="152"/>
      <c r="Y40" s="152"/>
      <c r="Z40" s="26"/>
    </row>
    <row r="41" spans="2:26" x14ac:dyDescent="0.35">
      <c r="B41" s="25"/>
      <c r="C41" s="290"/>
      <c r="D41" s="290"/>
      <c r="E41" s="290"/>
      <c r="F41" s="290"/>
      <c r="G41" s="290"/>
      <c r="H41" s="290"/>
      <c r="I41" s="290"/>
      <c r="J41" s="290"/>
      <c r="K41" s="290"/>
      <c r="L41" s="290"/>
      <c r="M41" s="290"/>
      <c r="N41" s="290"/>
      <c r="O41" s="290"/>
      <c r="P41" s="290"/>
      <c r="Q41" s="290"/>
      <c r="R41" s="290"/>
      <c r="S41" s="290"/>
      <c r="T41" s="290"/>
      <c r="U41" s="290"/>
      <c r="V41" s="290"/>
      <c r="W41" s="290"/>
      <c r="X41" s="290"/>
      <c r="Y41" s="290"/>
      <c r="Z41" s="26"/>
    </row>
    <row r="42" spans="2:26" x14ac:dyDescent="0.35">
      <c r="B42" s="25"/>
      <c r="C42" s="290"/>
      <c r="D42" s="290"/>
      <c r="E42" s="290"/>
      <c r="F42" s="290"/>
      <c r="G42" s="290"/>
      <c r="H42" s="290"/>
      <c r="I42" s="290"/>
      <c r="J42" s="290"/>
      <c r="K42" s="290"/>
      <c r="L42" s="290"/>
      <c r="M42" s="290"/>
      <c r="N42" s="290"/>
      <c r="O42" s="290"/>
      <c r="P42" s="290"/>
      <c r="Q42" s="290"/>
      <c r="R42" s="290"/>
      <c r="S42" s="290"/>
      <c r="T42" s="290"/>
      <c r="U42" s="290"/>
      <c r="V42" s="290"/>
      <c r="W42" s="290"/>
      <c r="X42" s="290"/>
      <c r="Y42" s="290"/>
      <c r="Z42" s="26"/>
    </row>
    <row r="43" spans="2:26" x14ac:dyDescent="0.35">
      <c r="B43" s="25"/>
      <c r="C43" s="290"/>
      <c r="D43" s="290"/>
      <c r="E43" s="290"/>
      <c r="F43" s="290"/>
      <c r="G43" s="290"/>
      <c r="H43" s="290"/>
      <c r="I43" s="290"/>
      <c r="J43" s="290"/>
      <c r="K43" s="290"/>
      <c r="L43" s="290"/>
      <c r="M43" s="290"/>
      <c r="N43" s="290"/>
      <c r="O43" s="290"/>
      <c r="P43" s="290"/>
      <c r="Q43" s="290"/>
      <c r="R43" s="290"/>
      <c r="S43" s="290"/>
      <c r="T43" s="290"/>
      <c r="U43" s="290"/>
      <c r="V43" s="290"/>
      <c r="W43" s="290"/>
      <c r="X43" s="290"/>
      <c r="Y43" s="290"/>
      <c r="Z43" s="26"/>
    </row>
    <row r="44" spans="2:26" x14ac:dyDescent="0.35">
      <c r="B44" s="25"/>
      <c r="C44" s="290"/>
      <c r="D44" s="290"/>
      <c r="E44" s="290"/>
      <c r="F44" s="290"/>
      <c r="G44" s="290"/>
      <c r="H44" s="290"/>
      <c r="I44" s="290"/>
      <c r="J44" s="290"/>
      <c r="K44" s="290"/>
      <c r="L44" s="290"/>
      <c r="M44" s="290"/>
      <c r="N44" s="290"/>
      <c r="O44" s="290"/>
      <c r="P44" s="290"/>
      <c r="Q44" s="290"/>
      <c r="R44" s="290"/>
      <c r="S44" s="290"/>
      <c r="T44" s="290"/>
      <c r="U44" s="290"/>
      <c r="V44" s="290"/>
      <c r="W44" s="290"/>
      <c r="X44" s="290"/>
      <c r="Y44" s="290"/>
      <c r="Z44" s="26"/>
    </row>
    <row r="45" spans="2:26" x14ac:dyDescent="0.35">
      <c r="B45" s="25"/>
      <c r="C45" s="290"/>
      <c r="D45" s="290"/>
      <c r="E45" s="290"/>
      <c r="F45" s="290"/>
      <c r="G45" s="290"/>
      <c r="H45" s="290"/>
      <c r="I45" s="290"/>
      <c r="J45" s="290"/>
      <c r="K45" s="290"/>
      <c r="L45" s="290"/>
      <c r="M45" s="290"/>
      <c r="N45" s="290"/>
      <c r="O45" s="290"/>
      <c r="P45" s="290"/>
      <c r="Q45" s="290"/>
      <c r="R45" s="290"/>
      <c r="S45" s="290"/>
      <c r="T45" s="290"/>
      <c r="U45" s="290"/>
      <c r="V45" s="290"/>
      <c r="W45" s="290"/>
      <c r="X45" s="290"/>
      <c r="Y45" s="290"/>
      <c r="Z45" s="26"/>
    </row>
    <row r="46" spans="2:26" x14ac:dyDescent="0.35">
      <c r="B46" s="25"/>
      <c r="C46" s="290"/>
      <c r="D46" s="290"/>
      <c r="E46" s="290"/>
      <c r="F46" s="290"/>
      <c r="G46" s="290"/>
      <c r="H46" s="290"/>
      <c r="I46" s="290"/>
      <c r="J46" s="290"/>
      <c r="K46" s="290"/>
      <c r="L46" s="290"/>
      <c r="M46" s="290"/>
      <c r="N46" s="290"/>
      <c r="O46" s="290"/>
      <c r="P46" s="290"/>
      <c r="Q46" s="290"/>
      <c r="R46" s="290"/>
      <c r="S46" s="290"/>
      <c r="T46" s="290"/>
      <c r="U46" s="290"/>
      <c r="V46" s="290"/>
      <c r="W46" s="290"/>
      <c r="X46" s="290"/>
      <c r="Y46" s="290"/>
      <c r="Z46" s="26"/>
    </row>
    <row r="47" spans="2:26" x14ac:dyDescent="0.35">
      <c r="B47" s="25"/>
      <c r="C47" s="290"/>
      <c r="D47" s="290"/>
      <c r="E47" s="290"/>
      <c r="F47" s="290"/>
      <c r="G47" s="290"/>
      <c r="H47" s="290"/>
      <c r="I47" s="290"/>
      <c r="J47" s="290"/>
      <c r="K47" s="290"/>
      <c r="L47" s="290"/>
      <c r="M47" s="290"/>
      <c r="N47" s="290"/>
      <c r="O47" s="290"/>
      <c r="P47" s="290"/>
      <c r="Q47" s="290"/>
      <c r="R47" s="290"/>
      <c r="S47" s="290"/>
      <c r="T47" s="290"/>
      <c r="U47" s="290"/>
      <c r="V47" s="290"/>
      <c r="W47" s="290"/>
      <c r="X47" s="290"/>
      <c r="Y47" s="290"/>
      <c r="Z47" s="26"/>
    </row>
    <row r="48" spans="2:26" x14ac:dyDescent="0.35">
      <c r="B48" s="25"/>
      <c r="C48" s="290"/>
      <c r="D48" s="290"/>
      <c r="E48" s="290"/>
      <c r="F48" s="290"/>
      <c r="G48" s="290"/>
      <c r="H48" s="290"/>
      <c r="I48" s="290"/>
      <c r="J48" s="290"/>
      <c r="K48" s="290"/>
      <c r="L48" s="290"/>
      <c r="M48" s="290"/>
      <c r="N48" s="290"/>
      <c r="O48" s="290"/>
      <c r="P48" s="290"/>
      <c r="Q48" s="290"/>
      <c r="R48" s="290"/>
      <c r="S48" s="290"/>
      <c r="T48" s="290"/>
      <c r="U48" s="290"/>
      <c r="V48" s="290"/>
      <c r="W48" s="290"/>
      <c r="X48" s="290"/>
      <c r="Y48" s="290"/>
      <c r="Z48" s="26"/>
    </row>
    <row r="49" spans="2:26" x14ac:dyDescent="0.35">
      <c r="B49" s="25"/>
      <c r="C49" s="290"/>
      <c r="D49" s="290"/>
      <c r="E49" s="290"/>
      <c r="F49" s="290"/>
      <c r="G49" s="290"/>
      <c r="H49" s="290"/>
      <c r="I49" s="290"/>
      <c r="J49" s="290"/>
      <c r="K49" s="290"/>
      <c r="L49" s="290"/>
      <c r="M49" s="290"/>
      <c r="N49" s="290"/>
      <c r="O49" s="290"/>
      <c r="P49" s="290"/>
      <c r="Q49" s="290"/>
      <c r="R49" s="290"/>
      <c r="S49" s="290"/>
      <c r="T49" s="290"/>
      <c r="U49" s="290"/>
      <c r="V49" s="290"/>
      <c r="W49" s="290"/>
      <c r="X49" s="290"/>
      <c r="Y49" s="290"/>
      <c r="Z49" s="26"/>
    </row>
    <row r="50" spans="2:26" x14ac:dyDescent="0.35">
      <c r="B50" s="25"/>
      <c r="C50" s="290"/>
      <c r="D50" s="290"/>
      <c r="E50" s="290"/>
      <c r="F50" s="290"/>
      <c r="G50" s="290"/>
      <c r="H50" s="290"/>
      <c r="I50" s="290"/>
      <c r="J50" s="290"/>
      <c r="K50" s="290"/>
      <c r="L50" s="290"/>
      <c r="M50" s="290"/>
      <c r="N50" s="290"/>
      <c r="O50" s="290"/>
      <c r="P50" s="290"/>
      <c r="Q50" s="290"/>
      <c r="R50" s="290"/>
      <c r="S50" s="290"/>
      <c r="T50" s="290"/>
      <c r="U50" s="290"/>
      <c r="V50" s="290"/>
      <c r="W50" s="290"/>
      <c r="X50" s="290"/>
      <c r="Y50" s="290"/>
      <c r="Z50" s="26"/>
    </row>
    <row r="51" spans="2:26" x14ac:dyDescent="0.35">
      <c r="B51" s="25"/>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6"/>
    </row>
    <row r="52" spans="2:26" x14ac:dyDescent="0.35">
      <c r="B52" s="25"/>
      <c r="C52" s="290"/>
      <c r="D52" s="290"/>
      <c r="E52" s="290"/>
      <c r="F52" s="290"/>
      <c r="G52" s="290"/>
      <c r="H52" s="290"/>
      <c r="I52" s="290"/>
      <c r="J52" s="290"/>
      <c r="K52" s="290"/>
      <c r="L52" s="290"/>
      <c r="M52" s="290"/>
      <c r="N52" s="290"/>
      <c r="O52" s="290"/>
      <c r="P52" s="290"/>
      <c r="Q52" s="290"/>
      <c r="R52" s="290"/>
      <c r="S52" s="290"/>
      <c r="T52" s="290"/>
      <c r="U52" s="290"/>
      <c r="V52" s="290"/>
      <c r="W52" s="290"/>
      <c r="X52" s="290"/>
      <c r="Y52" s="290"/>
      <c r="Z52" s="26"/>
    </row>
    <row r="53" spans="2:26" x14ac:dyDescent="0.35">
      <c r="B53" s="25"/>
      <c r="C53" s="290"/>
      <c r="D53" s="290"/>
      <c r="E53" s="290"/>
      <c r="F53" s="290"/>
      <c r="G53" s="290"/>
      <c r="H53" s="290"/>
      <c r="I53" s="290"/>
      <c r="J53" s="290"/>
      <c r="K53" s="290"/>
      <c r="L53" s="290"/>
      <c r="M53" s="290"/>
      <c r="N53" s="290"/>
      <c r="O53" s="290"/>
      <c r="P53" s="290"/>
      <c r="Q53" s="290"/>
      <c r="R53" s="290"/>
      <c r="S53" s="290"/>
      <c r="T53" s="290"/>
      <c r="U53" s="290"/>
      <c r="V53" s="290"/>
      <c r="W53" s="290"/>
      <c r="X53" s="290"/>
      <c r="Y53" s="290"/>
      <c r="Z53" s="26"/>
    </row>
    <row r="54" spans="2:26" x14ac:dyDescent="0.35">
      <c r="B54" s="25"/>
      <c r="C54" s="290"/>
      <c r="D54" s="290"/>
      <c r="E54" s="290"/>
      <c r="F54" s="290"/>
      <c r="G54" s="290"/>
      <c r="H54" s="290"/>
      <c r="I54" s="290"/>
      <c r="J54" s="290"/>
      <c r="K54" s="290"/>
      <c r="L54" s="290"/>
      <c r="M54" s="290"/>
      <c r="N54" s="290"/>
      <c r="O54" s="290"/>
      <c r="P54" s="290"/>
      <c r="Q54" s="290"/>
      <c r="R54" s="290"/>
      <c r="S54" s="290"/>
      <c r="T54" s="290"/>
      <c r="U54" s="290"/>
      <c r="V54" s="290"/>
      <c r="W54" s="290"/>
      <c r="X54" s="290"/>
      <c r="Y54" s="290"/>
      <c r="Z54" s="26"/>
    </row>
    <row r="55" spans="2:26" x14ac:dyDescent="0.35">
      <c r="B55" s="25"/>
      <c r="C55" s="290"/>
      <c r="D55" s="290"/>
      <c r="E55" s="290"/>
      <c r="F55" s="290"/>
      <c r="G55" s="290"/>
      <c r="H55" s="290"/>
      <c r="I55" s="290"/>
      <c r="J55" s="290"/>
      <c r="K55" s="290"/>
      <c r="L55" s="290"/>
      <c r="M55" s="290"/>
      <c r="N55" s="290"/>
      <c r="O55" s="290"/>
      <c r="P55" s="290"/>
      <c r="Q55" s="290"/>
      <c r="R55" s="290"/>
      <c r="S55" s="290"/>
      <c r="T55" s="290"/>
      <c r="U55" s="290"/>
      <c r="V55" s="290"/>
      <c r="W55" s="290"/>
      <c r="X55" s="290"/>
      <c r="Y55" s="290"/>
      <c r="Z55" s="26"/>
    </row>
    <row r="56" spans="2:26" x14ac:dyDescent="0.35">
      <c r="B56" s="25"/>
      <c r="C56" s="290"/>
      <c r="D56" s="290"/>
      <c r="E56" s="290"/>
      <c r="F56" s="290"/>
      <c r="G56" s="290"/>
      <c r="H56" s="290"/>
      <c r="I56" s="290"/>
      <c r="J56" s="290"/>
      <c r="K56" s="290"/>
      <c r="L56" s="290"/>
      <c r="M56" s="290"/>
      <c r="N56" s="290"/>
      <c r="O56" s="290"/>
      <c r="P56" s="290"/>
      <c r="Q56" s="290"/>
      <c r="R56" s="290"/>
      <c r="S56" s="290"/>
      <c r="T56" s="290"/>
      <c r="U56" s="290"/>
      <c r="V56" s="290"/>
      <c r="W56" s="290"/>
      <c r="X56" s="290"/>
      <c r="Y56" s="290"/>
      <c r="Z56" s="26"/>
    </row>
    <row r="57" spans="2:26" x14ac:dyDescent="0.35">
      <c r="B57" s="25"/>
      <c r="C57" s="290"/>
      <c r="D57" s="290"/>
      <c r="E57" s="290"/>
      <c r="F57" s="290"/>
      <c r="G57" s="290"/>
      <c r="H57" s="290"/>
      <c r="I57" s="290"/>
      <c r="J57" s="290"/>
      <c r="K57" s="290"/>
      <c r="L57" s="290"/>
      <c r="M57" s="290"/>
      <c r="N57" s="290"/>
      <c r="O57" s="290"/>
      <c r="P57" s="290"/>
      <c r="Q57" s="290"/>
      <c r="R57" s="290"/>
      <c r="S57" s="290"/>
      <c r="T57" s="290"/>
      <c r="U57" s="290"/>
      <c r="V57" s="290"/>
      <c r="W57" s="290"/>
      <c r="X57" s="290"/>
      <c r="Y57" s="290"/>
      <c r="Z57" s="26"/>
    </row>
    <row r="58" spans="2:26" x14ac:dyDescent="0.35">
      <c r="B58" s="25"/>
      <c r="C58" s="290"/>
      <c r="D58" s="290"/>
      <c r="E58" s="290"/>
      <c r="F58" s="290"/>
      <c r="G58" s="290"/>
      <c r="H58" s="290"/>
      <c r="I58" s="290"/>
      <c r="J58" s="290"/>
      <c r="K58" s="290"/>
      <c r="L58" s="290"/>
      <c r="M58" s="290"/>
      <c r="N58" s="290"/>
      <c r="O58" s="290"/>
      <c r="P58" s="290"/>
      <c r="Q58" s="290"/>
      <c r="R58" s="290"/>
      <c r="S58" s="290"/>
      <c r="T58" s="290"/>
      <c r="U58" s="290"/>
      <c r="V58" s="290"/>
      <c r="W58" s="290"/>
      <c r="X58" s="290"/>
      <c r="Y58" s="290"/>
      <c r="Z58" s="26"/>
    </row>
    <row r="59" spans="2:26" x14ac:dyDescent="0.35">
      <c r="B59" s="25"/>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6"/>
    </row>
    <row r="60" spans="2:26" x14ac:dyDescent="0.35">
      <c r="B60" s="25"/>
      <c r="C60" s="290"/>
      <c r="D60" s="290"/>
      <c r="E60" s="290"/>
      <c r="F60" s="290"/>
      <c r="G60" s="290"/>
      <c r="H60" s="290"/>
      <c r="I60" s="290"/>
      <c r="J60" s="290"/>
      <c r="K60" s="290"/>
      <c r="L60" s="290"/>
      <c r="M60" s="290"/>
      <c r="N60" s="290"/>
      <c r="O60" s="290"/>
      <c r="P60" s="290"/>
      <c r="Q60" s="290"/>
      <c r="R60" s="290"/>
      <c r="S60" s="290"/>
      <c r="T60" s="290"/>
      <c r="U60" s="290"/>
      <c r="V60" s="290"/>
      <c r="W60" s="290"/>
      <c r="X60" s="290"/>
      <c r="Y60" s="290"/>
      <c r="Z60" s="26"/>
    </row>
    <row r="61" spans="2:26" x14ac:dyDescent="0.35">
      <c r="B61" s="25"/>
      <c r="C61" s="290"/>
      <c r="D61" s="290"/>
      <c r="E61" s="290"/>
      <c r="F61" s="290"/>
      <c r="G61" s="290"/>
      <c r="H61" s="290"/>
      <c r="I61" s="290"/>
      <c r="J61" s="290"/>
      <c r="K61" s="290"/>
      <c r="L61" s="290"/>
      <c r="M61" s="290"/>
      <c r="N61" s="290"/>
      <c r="O61" s="290"/>
      <c r="P61" s="290"/>
      <c r="Q61" s="290"/>
      <c r="R61" s="290"/>
      <c r="S61" s="290"/>
      <c r="T61" s="290"/>
      <c r="U61" s="290"/>
      <c r="V61" s="290"/>
      <c r="W61" s="290"/>
      <c r="X61" s="290"/>
      <c r="Y61" s="290"/>
      <c r="Z61" s="26"/>
    </row>
    <row r="62" spans="2:26" x14ac:dyDescent="0.35">
      <c r="B62" s="25"/>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6"/>
    </row>
    <row r="63" spans="2:26" x14ac:dyDescent="0.35">
      <c r="B63" s="25"/>
      <c r="C63" s="290"/>
      <c r="D63" s="290"/>
      <c r="E63" s="290"/>
      <c r="F63" s="290"/>
      <c r="G63" s="290"/>
      <c r="H63" s="290"/>
      <c r="I63" s="290"/>
      <c r="J63" s="290"/>
      <c r="K63" s="290"/>
      <c r="L63" s="290"/>
      <c r="M63" s="290"/>
      <c r="N63" s="290"/>
      <c r="O63" s="290"/>
      <c r="P63" s="290"/>
      <c r="Q63" s="290"/>
      <c r="R63" s="290"/>
      <c r="S63" s="290"/>
      <c r="T63" s="290"/>
      <c r="U63" s="290"/>
      <c r="V63" s="290"/>
      <c r="W63" s="290"/>
      <c r="X63" s="290"/>
      <c r="Y63" s="290"/>
      <c r="Z63" s="26"/>
    </row>
    <row r="64" spans="2:26" x14ac:dyDescent="0.35">
      <c r="B64" s="25"/>
      <c r="C64" s="290"/>
      <c r="D64" s="290"/>
      <c r="E64" s="290"/>
      <c r="F64" s="290"/>
      <c r="G64" s="290"/>
      <c r="H64" s="290"/>
      <c r="I64" s="290"/>
      <c r="J64" s="290"/>
      <c r="K64" s="290"/>
      <c r="L64" s="290"/>
      <c r="M64" s="290"/>
      <c r="N64" s="290"/>
      <c r="O64" s="290"/>
      <c r="P64" s="290"/>
      <c r="Q64" s="290"/>
      <c r="R64" s="290"/>
      <c r="S64" s="290"/>
      <c r="T64" s="290"/>
      <c r="U64" s="290"/>
      <c r="V64" s="290"/>
      <c r="W64" s="290"/>
      <c r="X64" s="290"/>
      <c r="Y64" s="290"/>
      <c r="Z64" s="26"/>
    </row>
    <row r="65" spans="2:26" x14ac:dyDescent="0.35">
      <c r="B65" s="25"/>
      <c r="C65" s="290"/>
      <c r="D65" s="290"/>
      <c r="E65" s="290"/>
      <c r="F65" s="290"/>
      <c r="G65" s="290"/>
      <c r="H65" s="290"/>
      <c r="I65" s="290"/>
      <c r="J65" s="290"/>
      <c r="K65" s="290"/>
      <c r="L65" s="290"/>
      <c r="M65" s="290"/>
      <c r="N65" s="290"/>
      <c r="O65" s="290"/>
      <c r="P65" s="290"/>
      <c r="Q65" s="290"/>
      <c r="R65" s="290"/>
      <c r="S65" s="290"/>
      <c r="T65" s="290"/>
      <c r="U65" s="290"/>
      <c r="V65" s="290"/>
      <c r="W65" s="290"/>
      <c r="X65" s="290"/>
      <c r="Y65" s="290"/>
      <c r="Z65" s="26"/>
    </row>
    <row r="66" spans="2:26" x14ac:dyDescent="0.35">
      <c r="B66" s="25"/>
      <c r="C66" s="290"/>
      <c r="D66" s="290"/>
      <c r="E66" s="290"/>
      <c r="F66" s="290"/>
      <c r="G66" s="290"/>
      <c r="H66" s="290"/>
      <c r="I66" s="290"/>
      <c r="J66" s="290"/>
      <c r="K66" s="290"/>
      <c r="L66" s="290"/>
      <c r="M66" s="290"/>
      <c r="N66" s="290"/>
      <c r="O66" s="290"/>
      <c r="P66" s="290"/>
      <c r="Q66" s="290"/>
      <c r="R66" s="290"/>
      <c r="S66" s="290"/>
      <c r="T66" s="290"/>
      <c r="U66" s="290"/>
      <c r="V66" s="290"/>
      <c r="W66" s="290"/>
      <c r="X66" s="290"/>
      <c r="Y66" s="290"/>
      <c r="Z66" s="26"/>
    </row>
    <row r="67" spans="2:26" x14ac:dyDescent="0.35">
      <c r="B67" s="25"/>
      <c r="C67" s="290"/>
      <c r="D67" s="290"/>
      <c r="E67" s="290"/>
      <c r="F67" s="290"/>
      <c r="G67" s="290"/>
      <c r="H67" s="290"/>
      <c r="I67" s="290"/>
      <c r="J67" s="290"/>
      <c r="K67" s="290"/>
      <c r="L67" s="290"/>
      <c r="M67" s="290"/>
      <c r="N67" s="290"/>
      <c r="O67" s="290"/>
      <c r="P67" s="290"/>
      <c r="Q67" s="290"/>
      <c r="R67" s="290"/>
      <c r="S67" s="290"/>
      <c r="T67" s="290"/>
      <c r="U67" s="290"/>
      <c r="V67" s="290"/>
      <c r="W67" s="290"/>
      <c r="X67" s="290"/>
      <c r="Y67" s="290"/>
      <c r="Z67" s="26"/>
    </row>
    <row r="68" spans="2:26" x14ac:dyDescent="0.35">
      <c r="B68" s="25"/>
      <c r="C68" s="290"/>
      <c r="D68" s="290"/>
      <c r="E68" s="290"/>
      <c r="F68" s="290"/>
      <c r="G68" s="290"/>
      <c r="H68" s="290"/>
      <c r="I68" s="290"/>
      <c r="J68" s="290"/>
      <c r="K68" s="290"/>
      <c r="L68" s="290"/>
      <c r="M68" s="290"/>
      <c r="N68" s="290"/>
      <c r="O68" s="290"/>
      <c r="P68" s="290"/>
      <c r="Q68" s="290"/>
      <c r="R68" s="290"/>
      <c r="S68" s="290"/>
      <c r="T68" s="290"/>
      <c r="U68" s="290"/>
      <c r="V68" s="290"/>
      <c r="W68" s="290"/>
      <c r="X68" s="290"/>
      <c r="Y68" s="290"/>
      <c r="Z68" s="26"/>
    </row>
    <row r="69" spans="2:26" x14ac:dyDescent="0.35">
      <c r="B69" s="25"/>
      <c r="C69" s="290"/>
      <c r="D69" s="290"/>
      <c r="E69" s="290"/>
      <c r="F69" s="290"/>
      <c r="G69" s="290"/>
      <c r="H69" s="290"/>
      <c r="I69" s="290"/>
      <c r="J69" s="290"/>
      <c r="K69" s="290"/>
      <c r="L69" s="290"/>
      <c r="M69" s="290"/>
      <c r="N69" s="290"/>
      <c r="O69" s="290"/>
      <c r="P69" s="290"/>
      <c r="Q69" s="290"/>
      <c r="R69" s="290"/>
      <c r="S69" s="290"/>
      <c r="T69" s="290"/>
      <c r="U69" s="290"/>
      <c r="V69" s="290"/>
      <c r="W69" s="290"/>
      <c r="X69" s="290"/>
      <c r="Y69" s="290"/>
      <c r="Z69" s="26"/>
    </row>
    <row r="70" spans="2:26" ht="15" thickBot="1" x14ac:dyDescent="0.4">
      <c r="B70" s="122"/>
      <c r="C70" s="124"/>
      <c r="D70" s="124"/>
      <c r="E70" s="124"/>
      <c r="F70" s="124"/>
      <c r="G70" s="124"/>
      <c r="H70" s="124"/>
      <c r="I70" s="124"/>
      <c r="J70" s="124"/>
      <c r="K70" s="124"/>
      <c r="L70" s="124"/>
      <c r="M70" s="124"/>
      <c r="N70" s="124"/>
      <c r="O70" s="124"/>
      <c r="P70" s="124"/>
      <c r="Q70" s="124"/>
      <c r="R70" s="124"/>
      <c r="S70" s="124"/>
      <c r="T70" s="124"/>
      <c r="U70" s="124"/>
      <c r="V70" s="124"/>
      <c r="W70" s="124"/>
      <c r="X70" s="124"/>
      <c r="Y70" s="124"/>
      <c r="Z70" s="126"/>
    </row>
  </sheetData>
  <mergeCells count="38">
    <mergeCell ref="V28:X28"/>
    <mergeCell ref="G26:H26"/>
    <mergeCell ref="L26:O26"/>
    <mergeCell ref="Q26:R26"/>
    <mergeCell ref="V26:X26"/>
    <mergeCell ref="V27:X27"/>
    <mergeCell ref="D27:E27"/>
    <mergeCell ref="F27:F28"/>
    <mergeCell ref="G27:H27"/>
    <mergeCell ref="L27:O27"/>
    <mergeCell ref="Q27:R27"/>
    <mergeCell ref="G28:H28"/>
    <mergeCell ref="Q28:R28"/>
    <mergeCell ref="G24:H24"/>
    <mergeCell ref="K24:K25"/>
    <mergeCell ref="L24:O25"/>
    <mergeCell ref="Q24:R24"/>
    <mergeCell ref="V24:X24"/>
    <mergeCell ref="G25:H25"/>
    <mergeCell ref="Q25:R25"/>
    <mergeCell ref="V25:X25"/>
    <mergeCell ref="D23:E23"/>
    <mergeCell ref="H8:I8"/>
    <mergeCell ref="H9:I9"/>
    <mergeCell ref="H10:I10"/>
    <mergeCell ref="H11:I11"/>
    <mergeCell ref="H12:I12"/>
    <mergeCell ref="H13:I13"/>
    <mergeCell ref="H14:I14"/>
    <mergeCell ref="H15:I15"/>
    <mergeCell ref="H16:I16"/>
    <mergeCell ref="C19:Y20"/>
    <mergeCell ref="C21:K22"/>
    <mergeCell ref="H7:I7"/>
    <mergeCell ref="K7:K8"/>
    <mergeCell ref="L7:L8"/>
    <mergeCell ref="M7:M8"/>
    <mergeCell ref="K6:M6"/>
  </mergeCells>
  <conditionalFormatting sqref="K27 U25:U28">
    <cfRule type="cellIs" dxfId="19" priority="6" operator="notBetween">
      <formula>-0.005</formula>
      <formula>0.005</formula>
    </cfRule>
  </conditionalFormatting>
  <conditionalFormatting sqref="K26">
    <cfRule type="cellIs" dxfId="18" priority="5" operator="notBetween">
      <formula>-0.5</formula>
      <formula>0.5</formula>
    </cfRule>
  </conditionalFormatting>
  <conditionalFormatting sqref="P31:U36">
    <cfRule type="cellIs" dxfId="17" priority="3" operator="equal">
      <formula>0</formula>
    </cfRule>
  </conditionalFormatting>
  <conditionalFormatting sqref="G8:G9 G11:G16">
    <cfRule type="cellIs" dxfId="16" priority="1" operator="notBetween">
      <formula>-0.005</formula>
      <formula>0.005</formula>
    </cfRule>
  </conditionalFormatting>
  <dataValidations count="1">
    <dataValidation type="list" allowBlank="1" showInputMessage="1" showErrorMessage="1" sqref="D31:D38" xr:uid="{2916336B-906C-43B6-B771-6130D3A8AE3C}">
      <formula1>Names</formula1>
    </dataValidation>
  </dataValidations>
  <pageMargins left="0.7" right="0.7" top="0.75" bottom="0.75" header="0.3" footer="0.3"/>
  <pageSetup paperSize="9" orientation="portrait" horizont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B1850-1EB2-484F-95D8-EE641CD4838B}">
  <sheetPr codeName="Sheet9"/>
  <dimension ref="A1:AA72"/>
  <sheetViews>
    <sheetView zoomScale="70" zoomScaleNormal="70" workbookViewId="0">
      <selection activeCell="J24" sqref="J24:J28"/>
    </sheetView>
  </sheetViews>
  <sheetFormatPr defaultColWidth="8.54296875" defaultRowHeight="14.5" x14ac:dyDescent="0.35"/>
  <cols>
    <col min="1" max="1" width="2" customWidth="1"/>
    <col min="2" max="2" width="2.54296875" style="1" customWidth="1"/>
    <col min="3" max="3" width="3.453125" style="1" customWidth="1"/>
    <col min="4" max="4" width="29.54296875" style="1" customWidth="1"/>
    <col min="5" max="5" width="22.81640625" style="1" customWidth="1"/>
    <col min="6" max="8" width="19.453125" style="1" customWidth="1"/>
    <col min="9" max="9" width="17.54296875" style="1" customWidth="1"/>
    <col min="10" max="10" width="14" style="1" customWidth="1"/>
    <col min="11" max="11" width="20.1796875" style="1" customWidth="1"/>
    <col min="12" max="12" width="16.54296875" style="1" bestFit="1" customWidth="1"/>
    <col min="13" max="13" width="18.1796875" style="1" customWidth="1"/>
    <col min="14" max="14" width="14.453125" style="1" customWidth="1"/>
    <col min="15" max="18" width="8.54296875" style="1"/>
    <col min="19" max="20" width="9.54296875" style="1" customWidth="1"/>
    <col min="21" max="25" width="8.54296875" style="1"/>
    <col min="26" max="26" width="3.54296875" style="1" customWidth="1"/>
    <col min="27" max="27" width="3.453125" style="1" customWidth="1"/>
    <col min="28" max="16384" width="8.54296875" style="1"/>
  </cols>
  <sheetData>
    <row r="1" spans="2:27" ht="12" customHeight="1" thickBot="1" x14ac:dyDescent="0.4"/>
    <row r="2" spans="2:27" x14ac:dyDescent="0.35">
      <c r="B2" s="20"/>
      <c r="C2" s="231"/>
      <c r="D2" s="231"/>
      <c r="E2" s="231"/>
      <c r="F2" s="231"/>
      <c r="G2" s="231"/>
      <c r="H2" s="231"/>
      <c r="I2" s="231"/>
      <c r="J2" s="231"/>
      <c r="K2" s="231"/>
      <c r="L2" s="231"/>
      <c r="M2" s="231"/>
      <c r="N2" s="231"/>
      <c r="O2" s="231"/>
      <c r="P2" s="231"/>
      <c r="Q2" s="231"/>
      <c r="R2" s="231"/>
      <c r="S2" s="231"/>
      <c r="T2" s="231"/>
      <c r="U2" s="231"/>
      <c r="V2" s="231"/>
      <c r="W2" s="231"/>
      <c r="X2" s="231"/>
      <c r="Y2" s="231"/>
      <c r="Z2" s="231"/>
      <c r="AA2" s="23"/>
    </row>
    <row r="3" spans="2:27" ht="27.65" customHeight="1" x14ac:dyDescent="0.35">
      <c r="B3" s="29"/>
      <c r="C3" s="232" t="s">
        <v>135</v>
      </c>
      <c r="D3" s="44"/>
      <c r="E3" s="44"/>
      <c r="F3" s="44"/>
      <c r="G3" s="44"/>
      <c r="H3" s="44"/>
      <c r="I3" s="44"/>
      <c r="J3" s="44"/>
      <c r="K3" s="44"/>
      <c r="L3" s="44"/>
      <c r="M3" s="44"/>
      <c r="N3" s="44"/>
      <c r="O3" s="44"/>
      <c r="P3" s="44"/>
      <c r="Q3" s="44"/>
      <c r="R3" s="44"/>
      <c r="S3" s="44"/>
      <c r="T3" s="44"/>
      <c r="U3" s="44"/>
      <c r="V3" s="44"/>
      <c r="W3" s="44"/>
      <c r="X3" s="45"/>
      <c r="Y3" s="45"/>
      <c r="Z3" s="49"/>
      <c r="AA3" s="26"/>
    </row>
    <row r="4" spans="2:27" x14ac:dyDescent="0.35">
      <c r="B4" s="29"/>
      <c r="C4" s="50"/>
      <c r="D4" s="233"/>
      <c r="E4" s="233"/>
      <c r="F4" s="233"/>
      <c r="G4" s="233"/>
      <c r="H4" s="233"/>
      <c r="I4" s="233"/>
      <c r="J4" s="233"/>
      <c r="K4" s="233"/>
      <c r="L4" s="233"/>
      <c r="M4" s="233"/>
      <c r="N4" s="233"/>
      <c r="O4" s="233"/>
      <c r="P4" s="233"/>
      <c r="Q4" s="233"/>
      <c r="R4" s="233"/>
      <c r="S4" s="233"/>
      <c r="T4" s="233"/>
      <c r="U4" s="233"/>
      <c r="V4" s="233"/>
      <c r="W4" s="233"/>
      <c r="X4" s="234"/>
      <c r="Y4" s="234"/>
      <c r="Z4" s="56"/>
      <c r="AA4" s="26"/>
    </row>
    <row r="5" spans="2:27" x14ac:dyDescent="0.35">
      <c r="B5" s="29"/>
      <c r="C5" s="205"/>
      <c r="D5" s="235"/>
      <c r="Z5" s="75"/>
      <c r="AA5" s="26"/>
    </row>
    <row r="6" spans="2:27" x14ac:dyDescent="0.35">
      <c r="B6" s="29"/>
      <c r="C6" s="236"/>
      <c r="D6" s="237" t="s">
        <v>136</v>
      </c>
      <c r="E6" s="47"/>
      <c r="F6" s="47"/>
      <c r="G6" s="47"/>
      <c r="H6" s="47"/>
      <c r="I6" s="238"/>
      <c r="K6" s="426" t="s">
        <v>137</v>
      </c>
      <c r="L6" s="427"/>
      <c r="M6" s="428"/>
      <c r="Y6" s="291"/>
      <c r="Z6" s="75"/>
      <c r="AA6" s="26"/>
    </row>
    <row r="7" spans="2:27" x14ac:dyDescent="0.35">
      <c r="B7" s="29"/>
      <c r="C7" s="205"/>
      <c r="D7" s="235"/>
      <c r="E7" s="239" t="s">
        <v>138</v>
      </c>
      <c r="F7" s="239" t="s">
        <v>139</v>
      </c>
      <c r="G7" s="240" t="s">
        <v>140</v>
      </c>
      <c r="H7" s="429" t="s">
        <v>141</v>
      </c>
      <c r="I7" s="430"/>
      <c r="K7" s="431" t="s">
        <v>94</v>
      </c>
      <c r="L7" s="431" t="s">
        <v>142</v>
      </c>
      <c r="M7" s="431" t="s">
        <v>62</v>
      </c>
      <c r="Y7" s="292"/>
      <c r="AA7" s="26"/>
    </row>
    <row r="8" spans="2:27" s="62" customFormat="1" ht="14.9" customHeight="1" x14ac:dyDescent="0.35">
      <c r="B8" s="241"/>
      <c r="C8" s="242"/>
      <c r="D8" s="243" t="s">
        <v>143</v>
      </c>
      <c r="E8" s="244">
        <f>SUM(M31:M405)</f>
        <v>2168</v>
      </c>
      <c r="F8" s="244">
        <f>SUM(M9:M16)</f>
        <v>2168</v>
      </c>
      <c r="G8" s="245">
        <f>E8-F8</f>
        <v>0</v>
      </c>
      <c r="H8" s="433"/>
      <c r="I8" s="434"/>
      <c r="J8" s="1"/>
      <c r="K8" s="432"/>
      <c r="L8" s="432"/>
      <c r="M8" s="432"/>
      <c r="N8" s="1"/>
      <c r="O8" s="1"/>
      <c r="P8" s="1"/>
      <c r="Q8" s="1"/>
      <c r="R8" s="1"/>
      <c r="S8" s="1"/>
      <c r="T8" s="1"/>
      <c r="U8" s="1"/>
      <c r="V8" s="1"/>
      <c r="W8" s="1"/>
      <c r="X8" s="1"/>
      <c r="Y8" s="292"/>
      <c r="AA8" s="246"/>
    </row>
    <row r="9" spans="2:27" x14ac:dyDescent="0.35">
      <c r="B9" s="29"/>
      <c r="C9" s="68"/>
      <c r="D9" s="243" t="s">
        <v>144</v>
      </c>
      <c r="E9" s="247">
        <f>SUMIF(F31:F405,"GDS *",M31:M405)/E8</f>
        <v>0.33210332103321033</v>
      </c>
      <c r="F9" s="247">
        <f>SUM(M14:M16)/F8</f>
        <v>0.33210332103321033</v>
      </c>
      <c r="G9" s="248">
        <f>E9-F9</f>
        <v>0</v>
      </c>
      <c r="H9" s="433"/>
      <c r="I9" s="434"/>
      <c r="K9" s="341" t="s">
        <v>24</v>
      </c>
      <c r="L9" s="342">
        <f>M9/$F$8</f>
        <v>3.6900369003690037E-2</v>
      </c>
      <c r="M9" s="343">
        <f>'Project Plan - Target Deepdive'!H39</f>
        <v>80</v>
      </c>
      <c r="AA9" s="26"/>
    </row>
    <row r="10" spans="2:27" x14ac:dyDescent="0.35">
      <c r="B10" s="29"/>
      <c r="C10" s="68"/>
      <c r="D10" s="251" t="s">
        <v>145</v>
      </c>
      <c r="E10" s="252"/>
      <c r="F10" s="252"/>
      <c r="G10" s="252"/>
      <c r="H10" s="435"/>
      <c r="I10" s="436"/>
      <c r="K10" s="341" t="s">
        <v>25</v>
      </c>
      <c r="L10" s="342">
        <f t="shared" ref="L10:L16" si="0">M10/$F$8</f>
        <v>0.13284132841328414</v>
      </c>
      <c r="M10" s="343">
        <f>'Project Plan - Target Deepdive'!I39+'Project Plan - Target Deepdive'!J39</f>
        <v>288</v>
      </c>
      <c r="AA10" s="26"/>
    </row>
    <row r="11" spans="2:27" x14ac:dyDescent="0.35">
      <c r="B11" s="29"/>
      <c r="C11" s="68"/>
      <c r="D11" s="253" t="s">
        <v>24</v>
      </c>
      <c r="E11" s="247">
        <f>SUMIF($G$31:$G$405,D11,$L$31:$L$405)</f>
        <v>3.6900369003690037E-2</v>
      </c>
      <c r="F11" s="247">
        <f>L9</f>
        <v>3.6900369003690037E-2</v>
      </c>
      <c r="G11" s="248">
        <f t="shared" ref="G11:G16" si="1">E11-F11</f>
        <v>0</v>
      </c>
      <c r="H11" s="433"/>
      <c r="I11" s="434"/>
      <c r="K11" s="341" t="s">
        <v>26</v>
      </c>
      <c r="L11" s="342">
        <f t="shared" si="0"/>
        <v>0.16605166051660517</v>
      </c>
      <c r="M11" s="343">
        <f>'Project Plan - Target Deepdive'!K39</f>
        <v>360</v>
      </c>
      <c r="AA11" s="26"/>
    </row>
    <row r="12" spans="2:27" x14ac:dyDescent="0.35">
      <c r="B12" s="29"/>
      <c r="C12" s="68"/>
      <c r="D12" s="253" t="s">
        <v>109</v>
      </c>
      <c r="E12" s="247">
        <f t="shared" ref="E12:E16" si="2">SUMIF($G$31:$G$405,D12,$L$31:$L$405)</f>
        <v>0</v>
      </c>
      <c r="F12" s="247">
        <f>0%</f>
        <v>0</v>
      </c>
      <c r="G12" s="248">
        <f t="shared" si="1"/>
        <v>0</v>
      </c>
      <c r="H12" s="433"/>
      <c r="I12" s="434"/>
      <c r="K12" s="341" t="s">
        <v>27</v>
      </c>
      <c r="L12" s="342">
        <f t="shared" si="0"/>
        <v>0.16605166051660517</v>
      </c>
      <c r="M12" s="343">
        <f>'Project Plan - Target Deepdive'!L39</f>
        <v>360</v>
      </c>
      <c r="AA12" s="26"/>
    </row>
    <row r="13" spans="2:27" x14ac:dyDescent="0.35">
      <c r="B13" s="29"/>
      <c r="C13" s="68"/>
      <c r="D13" s="253" t="s">
        <v>25</v>
      </c>
      <c r="E13" s="247">
        <f>SUMIF($G$31:$G$405,D13,$L$31:$L$405)</f>
        <v>0.13284132841328414</v>
      </c>
      <c r="F13" s="247">
        <f>L10+L14</f>
        <v>0.13284132841328414</v>
      </c>
      <c r="G13" s="248">
        <f t="shared" si="1"/>
        <v>0</v>
      </c>
      <c r="H13" s="433"/>
      <c r="I13" s="434"/>
      <c r="K13" s="341" t="s">
        <v>28</v>
      </c>
      <c r="L13" s="342">
        <f t="shared" si="0"/>
        <v>0.16605166051660517</v>
      </c>
      <c r="M13" s="343">
        <f>'Project Plan - Target Deepdive'!M39</f>
        <v>360</v>
      </c>
      <c r="AA13" s="26"/>
    </row>
    <row r="14" spans="2:27" x14ac:dyDescent="0.35">
      <c r="B14" s="29"/>
      <c r="C14" s="68"/>
      <c r="D14" s="253" t="s">
        <v>26</v>
      </c>
      <c r="E14" s="247">
        <f t="shared" si="2"/>
        <v>0.33210332103321033</v>
      </c>
      <c r="F14" s="247">
        <f>L11+L15</f>
        <v>0.33210332103321033</v>
      </c>
      <c r="G14" s="248">
        <f t="shared" si="1"/>
        <v>0</v>
      </c>
      <c r="H14" s="433"/>
      <c r="I14" s="434"/>
      <c r="K14" s="341" t="s">
        <v>29</v>
      </c>
      <c r="L14" s="342">
        <f t="shared" si="0"/>
        <v>0</v>
      </c>
      <c r="M14" s="343">
        <f>'Project Plan - Target Deepdive'!N39</f>
        <v>0</v>
      </c>
      <c r="N14" s="256"/>
      <c r="O14" s="185"/>
      <c r="AA14" s="26"/>
    </row>
    <row r="15" spans="2:27" x14ac:dyDescent="0.35">
      <c r="B15" s="29"/>
      <c r="C15" s="68"/>
      <c r="D15" s="253" t="s">
        <v>27</v>
      </c>
      <c r="E15" s="247">
        <f t="shared" si="2"/>
        <v>0.33210332103321033</v>
      </c>
      <c r="F15" s="247">
        <f>L12+L16</f>
        <v>0.33210332103321033</v>
      </c>
      <c r="G15" s="248">
        <f t="shared" si="1"/>
        <v>0</v>
      </c>
      <c r="H15" s="433"/>
      <c r="I15" s="434"/>
      <c r="J15" s="254"/>
      <c r="K15" s="341" t="s">
        <v>30</v>
      </c>
      <c r="L15" s="342">
        <f t="shared" si="0"/>
        <v>0.16605166051660517</v>
      </c>
      <c r="M15" s="343">
        <f>'Project Plan - Target Deepdive'!O39</f>
        <v>360</v>
      </c>
      <c r="N15" s="256"/>
      <c r="O15" s="185"/>
      <c r="Y15"/>
      <c r="AA15" s="26"/>
    </row>
    <row r="16" spans="2:27" x14ac:dyDescent="0.35">
      <c r="B16" s="29"/>
      <c r="C16" s="68"/>
      <c r="D16" s="253" t="s">
        <v>28</v>
      </c>
      <c r="E16" s="247">
        <f t="shared" si="2"/>
        <v>0.16605166051660517</v>
      </c>
      <c r="F16" s="247">
        <f>L13</f>
        <v>0.16605166051660517</v>
      </c>
      <c r="G16" s="248">
        <f t="shared" si="1"/>
        <v>0</v>
      </c>
      <c r="H16" s="433"/>
      <c r="I16" s="434"/>
      <c r="J16" s="254"/>
      <c r="K16" s="341" t="s">
        <v>31</v>
      </c>
      <c r="L16" s="342">
        <f t="shared" si="0"/>
        <v>0.16605166051660517</v>
      </c>
      <c r="M16" s="343">
        <f>'Project Plan - Target Deepdive'!P39</f>
        <v>360</v>
      </c>
      <c r="N16" s="185"/>
      <c r="Y16" s="74"/>
      <c r="Z16" s="60"/>
      <c r="AA16" s="26"/>
    </row>
    <row r="17" spans="2:27" x14ac:dyDescent="0.35">
      <c r="B17" s="29"/>
      <c r="C17" s="111"/>
      <c r="D17" s="113"/>
      <c r="E17" s="113"/>
      <c r="F17" s="113"/>
      <c r="G17" s="113"/>
      <c r="H17" s="113"/>
      <c r="I17" s="113"/>
      <c r="J17" s="113"/>
      <c r="K17" s="113"/>
      <c r="L17" s="113"/>
      <c r="M17" s="113"/>
      <c r="N17" s="113"/>
      <c r="O17" s="113"/>
      <c r="P17" s="113"/>
      <c r="Q17" s="113"/>
      <c r="R17" s="113"/>
      <c r="S17" s="113"/>
      <c r="T17" s="113"/>
      <c r="U17" s="113"/>
      <c r="V17" s="113"/>
      <c r="W17" s="113"/>
      <c r="X17" s="114"/>
      <c r="Y17" s="115"/>
      <c r="Z17" s="118"/>
      <c r="AA17" s="26"/>
    </row>
    <row r="18" spans="2:27" x14ac:dyDescent="0.35">
      <c r="B18" s="25"/>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26"/>
    </row>
    <row r="19" spans="2:27" x14ac:dyDescent="0.35">
      <c r="B19" s="29"/>
      <c r="C19" s="437" t="s">
        <v>146</v>
      </c>
      <c r="D19" s="438"/>
      <c r="E19" s="438"/>
      <c r="F19" s="438"/>
      <c r="G19" s="438"/>
      <c r="H19" s="438"/>
      <c r="I19" s="438"/>
      <c r="J19" s="438"/>
      <c r="K19" s="438"/>
      <c r="L19" s="438"/>
      <c r="M19" s="438"/>
      <c r="N19" s="438"/>
      <c r="O19" s="438"/>
      <c r="P19" s="438"/>
      <c r="Q19" s="438"/>
      <c r="R19" s="438"/>
      <c r="S19" s="438"/>
      <c r="T19" s="438"/>
      <c r="U19" s="438"/>
      <c r="V19" s="438"/>
      <c r="W19" s="438"/>
      <c r="X19" s="438"/>
      <c r="Y19" s="438"/>
      <c r="Z19" s="439"/>
      <c r="AA19" s="26"/>
    </row>
    <row r="20" spans="2:27" x14ac:dyDescent="0.35">
      <c r="B20" s="29"/>
      <c r="C20" s="440"/>
      <c r="D20" s="441"/>
      <c r="E20" s="441"/>
      <c r="F20" s="441"/>
      <c r="G20" s="441"/>
      <c r="H20" s="441"/>
      <c r="I20" s="441"/>
      <c r="J20" s="441"/>
      <c r="K20" s="441"/>
      <c r="L20" s="441"/>
      <c r="M20" s="441"/>
      <c r="N20" s="441"/>
      <c r="O20" s="441"/>
      <c r="P20" s="441"/>
      <c r="Q20" s="441"/>
      <c r="R20" s="441"/>
      <c r="S20" s="441"/>
      <c r="T20" s="441"/>
      <c r="U20" s="441"/>
      <c r="V20" s="441"/>
      <c r="W20" s="441"/>
      <c r="X20" s="441"/>
      <c r="Y20" s="441"/>
      <c r="Z20" s="442"/>
      <c r="AA20" s="26"/>
    </row>
    <row r="21" spans="2:27" ht="26.15" customHeight="1" x14ac:dyDescent="0.35">
      <c r="B21" s="29"/>
      <c r="C21" s="443" t="s">
        <v>147</v>
      </c>
      <c r="D21" s="444"/>
      <c r="E21" s="444"/>
      <c r="F21" s="444"/>
      <c r="G21" s="444"/>
      <c r="H21" s="444"/>
      <c r="I21" s="444"/>
      <c r="J21" s="444"/>
      <c r="K21" s="444"/>
      <c r="L21" s="257"/>
      <c r="M21" s="257"/>
      <c r="N21" s="257"/>
      <c r="O21" s="257"/>
      <c r="P21" s="257"/>
      <c r="Q21" s="257"/>
      <c r="R21" s="257"/>
      <c r="S21" s="257"/>
      <c r="T21" s="257"/>
      <c r="U21" s="257"/>
      <c r="V21" s="257"/>
      <c r="W21" s="257"/>
      <c r="X21" s="257"/>
      <c r="Y21" s="257"/>
      <c r="Z21" s="258"/>
      <c r="AA21" s="26"/>
    </row>
    <row r="22" spans="2:27" ht="26.15" customHeight="1" x14ac:dyDescent="0.35">
      <c r="B22" s="29"/>
      <c r="C22" s="445"/>
      <c r="D22" s="446"/>
      <c r="E22" s="446"/>
      <c r="F22" s="446"/>
      <c r="G22" s="446"/>
      <c r="H22" s="446"/>
      <c r="I22" s="446"/>
      <c r="J22" s="446"/>
      <c r="K22" s="446"/>
      <c r="L22" s="255"/>
      <c r="M22" s="255"/>
      <c r="N22" s="255"/>
      <c r="O22" s="255"/>
      <c r="P22" s="255"/>
      <c r="Q22" s="255"/>
      <c r="R22" s="255"/>
      <c r="S22" s="255"/>
      <c r="T22" s="255"/>
      <c r="U22" s="255"/>
      <c r="V22" s="255"/>
      <c r="W22" s="255"/>
      <c r="X22" s="255"/>
      <c r="Y22" s="255"/>
      <c r="Z22" s="259"/>
      <c r="AA22" s="26"/>
    </row>
    <row r="23" spans="2:27" ht="23.15" customHeight="1" x14ac:dyDescent="0.35">
      <c r="B23" s="29"/>
      <c r="C23" s="260"/>
      <c r="D23" s="394" t="s">
        <v>148</v>
      </c>
      <c r="E23" s="395"/>
      <c r="F23" s="261"/>
      <c r="G23" s="347" t="s">
        <v>149</v>
      </c>
      <c r="H23" s="348"/>
      <c r="I23" s="349" t="s">
        <v>150</v>
      </c>
      <c r="J23" s="349" t="s">
        <v>151</v>
      </c>
      <c r="K23" s="262"/>
      <c r="L23" s="262"/>
      <c r="M23" s="262"/>
      <c r="N23" s="262"/>
      <c r="O23" s="262"/>
      <c r="P23" s="262"/>
      <c r="Q23" s="262"/>
      <c r="R23" s="262"/>
      <c r="S23" s="262"/>
      <c r="T23" s="262"/>
      <c r="U23" s="262"/>
      <c r="V23" s="262"/>
      <c r="W23" s="262"/>
      <c r="X23" s="262"/>
      <c r="Y23" s="262"/>
      <c r="Z23" s="259"/>
      <c r="AA23" s="26"/>
    </row>
    <row r="24" spans="2:27" ht="14.9" customHeight="1" x14ac:dyDescent="0.35">
      <c r="B24" s="29"/>
      <c r="C24" s="263"/>
      <c r="D24" s="264" t="s">
        <v>152</v>
      </c>
      <c r="E24" s="265">
        <v>0.55000000000000004</v>
      </c>
      <c r="F24" s="266"/>
      <c r="G24" s="447" t="s">
        <v>153</v>
      </c>
      <c r="H24" s="448"/>
      <c r="I24" s="267">
        <f>I25/(1-E24)</f>
        <v>428728.88888888893</v>
      </c>
      <c r="J24" s="267">
        <f>J25/(1-E24)</f>
        <v>428728.88888888893</v>
      </c>
      <c r="K24" s="449"/>
      <c r="L24" s="449"/>
      <c r="M24" s="449"/>
      <c r="N24" s="449"/>
      <c r="O24" s="449"/>
      <c r="P24" s="255"/>
      <c r="Q24" s="450"/>
      <c r="R24" s="450"/>
      <c r="S24" s="268"/>
      <c r="T24" s="268"/>
      <c r="U24" s="269"/>
      <c r="V24" s="449"/>
      <c r="W24" s="449"/>
      <c r="X24" s="449"/>
      <c r="Y24" s="449"/>
      <c r="Z24" s="270"/>
      <c r="AA24" s="26"/>
    </row>
    <row r="25" spans="2:27" ht="14.9" customHeight="1" x14ac:dyDescent="0.35">
      <c r="B25" s="29"/>
      <c r="C25" s="263"/>
      <c r="D25" s="264" t="s">
        <v>154</v>
      </c>
      <c r="E25" s="265">
        <v>0.1</v>
      </c>
      <c r="F25" s="266"/>
      <c r="G25" s="451" t="s">
        <v>155</v>
      </c>
      <c r="H25" s="452"/>
      <c r="I25" s="271">
        <f>SUM(K31:K40)</f>
        <v>192928</v>
      </c>
      <c r="J25" s="271">
        <f>'Project Plan - Target Deepdive'!F39</f>
        <v>192928</v>
      </c>
      <c r="K25" s="449"/>
      <c r="L25" s="449"/>
      <c r="M25" s="449"/>
      <c r="N25" s="449"/>
      <c r="O25" s="449"/>
      <c r="P25" s="255"/>
      <c r="Q25" s="453"/>
      <c r="R25" s="453"/>
      <c r="S25" s="272"/>
      <c r="T25" s="273"/>
      <c r="U25" s="273"/>
      <c r="V25" s="454"/>
      <c r="W25" s="454"/>
      <c r="X25" s="454"/>
      <c r="Y25" s="454"/>
      <c r="Z25" s="270"/>
      <c r="AA25" s="26"/>
    </row>
    <row r="26" spans="2:27" ht="14.9" customHeight="1" x14ac:dyDescent="0.35">
      <c r="B26" s="29"/>
      <c r="C26" s="263"/>
      <c r="D26" s="274"/>
      <c r="E26" s="275"/>
      <c r="F26" s="276"/>
      <c r="G26" s="451" t="s">
        <v>156</v>
      </c>
      <c r="H26" s="452"/>
      <c r="I26" s="267">
        <f>I24-I25</f>
        <v>235800.88888888893</v>
      </c>
      <c r="J26" s="267">
        <f>J24-J25</f>
        <v>235800.88888888893</v>
      </c>
      <c r="K26" s="272"/>
      <c r="L26" s="454"/>
      <c r="M26" s="454"/>
      <c r="N26" s="454"/>
      <c r="O26" s="454"/>
      <c r="P26" s="255"/>
      <c r="Q26" s="453"/>
      <c r="R26" s="453"/>
      <c r="S26" s="272"/>
      <c r="T26" s="273"/>
      <c r="U26" s="273"/>
      <c r="V26" s="454"/>
      <c r="W26" s="454"/>
      <c r="X26" s="454"/>
      <c r="Y26" s="454"/>
      <c r="Z26" s="270"/>
      <c r="AA26" s="26"/>
    </row>
    <row r="27" spans="2:27" ht="14.9" customHeight="1" x14ac:dyDescent="0.35">
      <c r="B27" s="29"/>
      <c r="C27" s="263"/>
      <c r="D27" s="390"/>
      <c r="E27" s="390"/>
      <c r="F27" s="455"/>
      <c r="G27" s="451" t="s">
        <v>157</v>
      </c>
      <c r="H27" s="452"/>
      <c r="I27" s="271">
        <f>I24*E25</f>
        <v>42872.888888888898</v>
      </c>
      <c r="J27" s="271">
        <f>I24*E25</f>
        <v>42872.888888888898</v>
      </c>
      <c r="K27" s="273"/>
      <c r="L27" s="454"/>
      <c r="M27" s="454"/>
      <c r="N27" s="454"/>
      <c r="O27" s="454"/>
      <c r="P27" s="255"/>
      <c r="Q27" s="453"/>
      <c r="R27" s="453"/>
      <c r="S27" s="272"/>
      <c r="T27" s="273"/>
      <c r="U27" s="273"/>
      <c r="V27" s="454"/>
      <c r="W27" s="454"/>
      <c r="X27" s="454"/>
      <c r="Y27" s="454"/>
      <c r="Z27" s="270"/>
      <c r="AA27" s="26"/>
    </row>
    <row r="28" spans="2:27" ht="14.9" customHeight="1" x14ac:dyDescent="0.35">
      <c r="B28" s="29"/>
      <c r="C28" s="263"/>
      <c r="D28" s="268"/>
      <c r="E28" s="272"/>
      <c r="F28" s="455"/>
      <c r="G28" s="456" t="s">
        <v>158</v>
      </c>
      <c r="H28" s="457"/>
      <c r="I28" s="277">
        <f>I24+I27</f>
        <v>471601.77777777781</v>
      </c>
      <c r="J28" s="277">
        <f>J24+J27</f>
        <v>471601.77777777781</v>
      </c>
      <c r="K28" s="278"/>
      <c r="L28" s="255"/>
      <c r="M28" s="255"/>
      <c r="N28" s="255"/>
      <c r="O28" s="255"/>
      <c r="P28" s="255"/>
      <c r="Q28" s="453"/>
      <c r="R28" s="453"/>
      <c r="S28" s="272"/>
      <c r="T28" s="273"/>
      <c r="U28" s="273"/>
      <c r="V28" s="454"/>
      <c r="W28" s="454"/>
      <c r="X28" s="454"/>
      <c r="Y28" s="454"/>
      <c r="Z28" s="270"/>
      <c r="AA28" s="26"/>
    </row>
    <row r="29" spans="2:27" x14ac:dyDescent="0.35">
      <c r="B29" s="29"/>
      <c r="C29" s="263"/>
      <c r="D29" s="268"/>
      <c r="E29" s="272"/>
      <c r="F29" s="272"/>
      <c r="G29" s="255"/>
      <c r="H29" s="255"/>
      <c r="I29" s="255"/>
      <c r="J29" s="255"/>
      <c r="K29" s="255"/>
      <c r="L29" s="255"/>
      <c r="M29" s="255"/>
      <c r="N29" s="255"/>
      <c r="O29" s="255"/>
      <c r="P29" s="255"/>
      <c r="Q29" s="279"/>
      <c r="R29" s="255"/>
      <c r="S29" s="255"/>
      <c r="T29" s="255"/>
      <c r="U29" s="255"/>
      <c r="V29" s="255"/>
      <c r="W29" s="255"/>
      <c r="X29" s="255"/>
      <c r="Y29" s="255"/>
      <c r="Z29" s="270"/>
      <c r="AA29" s="26"/>
    </row>
    <row r="30" spans="2:27" s="285" customFormat="1" x14ac:dyDescent="0.35">
      <c r="B30" s="280"/>
      <c r="C30" s="281"/>
      <c r="D30" s="264" t="s">
        <v>93</v>
      </c>
      <c r="E30" s="264" t="s">
        <v>159</v>
      </c>
      <c r="F30" s="264" t="s">
        <v>94</v>
      </c>
      <c r="G30" s="264" t="s">
        <v>160</v>
      </c>
      <c r="H30" s="264" t="s">
        <v>161</v>
      </c>
      <c r="I30" s="264" t="s">
        <v>162</v>
      </c>
      <c r="J30" s="264" t="s">
        <v>163</v>
      </c>
      <c r="K30" s="264" t="s">
        <v>155</v>
      </c>
      <c r="L30" s="264" t="s">
        <v>164</v>
      </c>
      <c r="M30" s="264" t="s">
        <v>143</v>
      </c>
      <c r="N30" s="282" t="s">
        <v>165</v>
      </c>
      <c r="O30" s="282" t="s">
        <v>166</v>
      </c>
      <c r="P30" s="282" t="s">
        <v>167</v>
      </c>
      <c r="Q30" s="282" t="s">
        <v>168</v>
      </c>
      <c r="R30" s="282" t="s">
        <v>169</v>
      </c>
      <c r="S30" s="282" t="s">
        <v>170</v>
      </c>
      <c r="T30" s="282" t="s">
        <v>171</v>
      </c>
      <c r="U30" s="282" t="s">
        <v>172</v>
      </c>
      <c r="V30" s="282" t="s">
        <v>173</v>
      </c>
      <c r="W30" s="282" t="s">
        <v>174</v>
      </c>
      <c r="X30" s="282" t="s">
        <v>177</v>
      </c>
      <c r="Y30" s="282" t="s">
        <v>175</v>
      </c>
      <c r="Z30" s="283"/>
      <c r="AA30" s="284"/>
    </row>
    <row r="31" spans="2:27" x14ac:dyDescent="0.35">
      <c r="B31" s="29"/>
      <c r="C31" s="68"/>
      <c r="D31" s="286" t="s">
        <v>100</v>
      </c>
      <c r="E31" s="286" t="s">
        <v>102</v>
      </c>
      <c r="F31" s="221" t="str">
        <f t="shared" ref="F31:F40" si="3">IF(D31=0,"",VLOOKUP(D31,Resources,2,FALSE))</f>
        <v>Partner 1</v>
      </c>
      <c r="G31" s="221" t="str">
        <f t="shared" ref="G31:G40" si="4">IF(D31=0,"",VLOOKUP(D31,Resources,3,FALSE))</f>
        <v>Partner</v>
      </c>
      <c r="H31" s="221" t="str">
        <f t="shared" ref="H31:H40" si="5">IF(D31=0,"",VLOOKUP(D31,Resources,4,FALSE))</f>
        <v>United States</v>
      </c>
      <c r="I31" s="221" t="str">
        <f t="shared" ref="I31:I40" si="6">IF(D31=0,"",VLOOKUP(D31,Resources,5,FALSE))</f>
        <v>Supply Chain</v>
      </c>
      <c r="J31" s="287">
        <f t="shared" ref="J31:J40" si="7">IF(D31=0,"",VLOOKUP(D31,Resources,6,FALSE))</f>
        <v>617</v>
      </c>
      <c r="K31" s="287">
        <f t="shared" ref="K31:K40" si="8">IF(AND(M31&lt;&gt;"",J31&lt;&gt;""),M31*J31,"")</f>
        <v>49360</v>
      </c>
      <c r="L31" s="288">
        <f>M31/(SUM($M$31:$M$40))</f>
        <v>3.6900369003690037E-2</v>
      </c>
      <c r="M31" s="289">
        <f>SUM(N31:W31)</f>
        <v>80</v>
      </c>
      <c r="N31" s="249">
        <v>0</v>
      </c>
      <c r="O31" s="249">
        <v>0</v>
      </c>
      <c r="P31" s="250">
        <v>10</v>
      </c>
      <c r="Q31" s="250">
        <v>10</v>
      </c>
      <c r="R31" s="250">
        <v>10</v>
      </c>
      <c r="S31" s="250">
        <v>10</v>
      </c>
      <c r="T31" s="250">
        <v>10</v>
      </c>
      <c r="U31" s="250">
        <v>10</v>
      </c>
      <c r="V31" s="250">
        <v>10</v>
      </c>
      <c r="W31" s="250">
        <v>10</v>
      </c>
      <c r="X31" s="250"/>
      <c r="Y31" s="250"/>
      <c r="Z31" s="60"/>
      <c r="AA31" s="26"/>
    </row>
    <row r="32" spans="2:27" x14ac:dyDescent="0.35">
      <c r="B32" s="29"/>
      <c r="C32" s="68"/>
      <c r="D32" s="286" t="s">
        <v>103</v>
      </c>
      <c r="E32" s="286" t="s">
        <v>102</v>
      </c>
      <c r="F32" s="221" t="str">
        <f t="shared" si="3"/>
        <v>Senior Manager 1</v>
      </c>
      <c r="G32" s="221" t="str">
        <f t="shared" si="4"/>
        <v>Senior Manager</v>
      </c>
      <c r="H32" s="221" t="str">
        <f t="shared" si="5"/>
        <v>United States</v>
      </c>
      <c r="I32" s="221" t="str">
        <f t="shared" si="6"/>
        <v>Supply Chain</v>
      </c>
      <c r="J32" s="287">
        <f t="shared" si="7"/>
        <v>171</v>
      </c>
      <c r="K32" s="287">
        <f t="shared" si="8"/>
        <v>5472</v>
      </c>
      <c r="L32" s="288">
        <f t="shared" ref="L32:L38" si="9">M32/(SUM($M$31:$M$40))</f>
        <v>1.4760147601476014E-2</v>
      </c>
      <c r="M32" s="289">
        <f t="shared" ref="M32:M38" si="10">SUM(N32:W32)</f>
        <v>32</v>
      </c>
      <c r="N32" s="249">
        <v>0</v>
      </c>
      <c r="O32" s="249">
        <v>0</v>
      </c>
      <c r="P32" s="250">
        <v>4</v>
      </c>
      <c r="Q32" s="250">
        <v>4</v>
      </c>
      <c r="R32" s="250">
        <v>4</v>
      </c>
      <c r="S32" s="250">
        <v>4</v>
      </c>
      <c r="T32" s="250">
        <v>4</v>
      </c>
      <c r="U32" s="250">
        <v>4</v>
      </c>
      <c r="V32" s="250">
        <v>4</v>
      </c>
      <c r="W32" s="250">
        <v>4</v>
      </c>
      <c r="X32" s="250"/>
      <c r="Y32" s="250"/>
      <c r="Z32" s="60"/>
      <c r="AA32" s="26"/>
    </row>
    <row r="33" spans="2:27" x14ac:dyDescent="0.35">
      <c r="B33" s="29"/>
      <c r="C33" s="68"/>
      <c r="D33" s="286" t="s">
        <v>105</v>
      </c>
      <c r="E33" s="286" t="s">
        <v>102</v>
      </c>
      <c r="F33" s="221" t="str">
        <f t="shared" si="3"/>
        <v>Senior Manager 2</v>
      </c>
      <c r="G33" s="221" t="str">
        <f t="shared" si="4"/>
        <v>Senior Manager</v>
      </c>
      <c r="H33" s="221" t="str">
        <f t="shared" si="5"/>
        <v>United States</v>
      </c>
      <c r="I33" s="221" t="str">
        <f t="shared" si="6"/>
        <v>Supply Chain</v>
      </c>
      <c r="J33" s="287">
        <f t="shared" si="7"/>
        <v>171</v>
      </c>
      <c r="K33" s="287">
        <f t="shared" si="8"/>
        <v>43776</v>
      </c>
      <c r="L33" s="288">
        <f t="shared" si="9"/>
        <v>0.11808118081180811</v>
      </c>
      <c r="M33" s="289">
        <f t="shared" si="10"/>
        <v>256</v>
      </c>
      <c r="N33" s="249">
        <v>0</v>
      </c>
      <c r="O33" s="249">
        <v>0</v>
      </c>
      <c r="P33" s="250">
        <v>32</v>
      </c>
      <c r="Q33" s="250">
        <v>32</v>
      </c>
      <c r="R33" s="250">
        <v>32</v>
      </c>
      <c r="S33" s="250">
        <v>32</v>
      </c>
      <c r="T33" s="250">
        <v>32</v>
      </c>
      <c r="U33" s="250">
        <v>32</v>
      </c>
      <c r="V33" s="250">
        <v>32</v>
      </c>
      <c r="W33" s="250">
        <v>32</v>
      </c>
      <c r="X33" s="250"/>
      <c r="Y33" s="250"/>
      <c r="Z33" s="60"/>
      <c r="AA33" s="26"/>
    </row>
    <row r="34" spans="2:27" x14ac:dyDescent="0.35">
      <c r="B34" s="29"/>
      <c r="C34" s="68"/>
      <c r="D34" s="286" t="s">
        <v>107</v>
      </c>
      <c r="E34" s="286" t="s">
        <v>102</v>
      </c>
      <c r="F34" s="221" t="str">
        <f t="shared" si="3"/>
        <v>Manager 1</v>
      </c>
      <c r="G34" s="221" t="str">
        <f t="shared" si="4"/>
        <v>Manager</v>
      </c>
      <c r="H34" s="221" t="str">
        <f t="shared" si="5"/>
        <v>United States</v>
      </c>
      <c r="I34" s="221" t="str">
        <f t="shared" si="6"/>
        <v>Supply Chain</v>
      </c>
      <c r="J34" s="287">
        <f t="shared" si="7"/>
        <v>98</v>
      </c>
      <c r="K34" s="287">
        <f t="shared" si="8"/>
        <v>35280</v>
      </c>
      <c r="L34" s="288">
        <f t="shared" si="9"/>
        <v>0.16605166051660517</v>
      </c>
      <c r="M34" s="289">
        <f t="shared" si="10"/>
        <v>360</v>
      </c>
      <c r="N34" s="249">
        <v>0</v>
      </c>
      <c r="O34" s="249">
        <v>0</v>
      </c>
      <c r="P34" s="250">
        <v>45</v>
      </c>
      <c r="Q34" s="250">
        <v>45</v>
      </c>
      <c r="R34" s="250">
        <v>45</v>
      </c>
      <c r="S34" s="250">
        <v>45</v>
      </c>
      <c r="T34" s="250">
        <v>45</v>
      </c>
      <c r="U34" s="250">
        <v>45</v>
      </c>
      <c r="V34" s="250">
        <v>45</v>
      </c>
      <c r="W34" s="250">
        <v>45</v>
      </c>
      <c r="X34" s="250"/>
      <c r="Y34" s="250"/>
      <c r="Z34" s="60"/>
      <c r="AA34" s="26"/>
    </row>
    <row r="35" spans="2:27" x14ac:dyDescent="0.35">
      <c r="B35" s="29"/>
      <c r="C35" s="68"/>
      <c r="D35" s="286" t="s">
        <v>110</v>
      </c>
      <c r="E35" s="286" t="s">
        <v>102</v>
      </c>
      <c r="F35" s="221" t="str">
        <f t="shared" si="3"/>
        <v>Senior 1</v>
      </c>
      <c r="G35" s="221" t="str">
        <f t="shared" si="4"/>
        <v>Senior</v>
      </c>
      <c r="H35" s="221" t="str">
        <f t="shared" si="5"/>
        <v>United States</v>
      </c>
      <c r="I35" s="221" t="str">
        <f t="shared" si="6"/>
        <v>Supply Chain</v>
      </c>
      <c r="J35" s="287">
        <f t="shared" si="7"/>
        <v>59</v>
      </c>
      <c r="K35" s="287">
        <f t="shared" si="8"/>
        <v>21240</v>
      </c>
      <c r="L35" s="288">
        <f t="shared" si="9"/>
        <v>0.16605166051660517</v>
      </c>
      <c r="M35" s="289">
        <f t="shared" si="10"/>
        <v>360</v>
      </c>
      <c r="N35" s="249">
        <v>0</v>
      </c>
      <c r="O35" s="249">
        <v>0</v>
      </c>
      <c r="P35" s="250">
        <v>45</v>
      </c>
      <c r="Q35" s="250">
        <v>45</v>
      </c>
      <c r="R35" s="250">
        <v>45</v>
      </c>
      <c r="S35" s="250">
        <v>45</v>
      </c>
      <c r="T35" s="250">
        <v>45</v>
      </c>
      <c r="U35" s="250">
        <v>45</v>
      </c>
      <c r="V35" s="250">
        <v>45</v>
      </c>
      <c r="W35" s="250">
        <v>45</v>
      </c>
      <c r="X35" s="250"/>
      <c r="Y35" s="250"/>
      <c r="Z35" s="60"/>
      <c r="AA35" s="26"/>
    </row>
    <row r="36" spans="2:27" x14ac:dyDescent="0.35">
      <c r="B36" s="29"/>
      <c r="C36" s="68"/>
      <c r="D36" s="286" t="s">
        <v>112</v>
      </c>
      <c r="E36" s="286" t="s">
        <v>102</v>
      </c>
      <c r="F36" s="221" t="str">
        <f t="shared" si="3"/>
        <v>Staff 1</v>
      </c>
      <c r="G36" s="221" t="str">
        <f t="shared" si="4"/>
        <v>Staff</v>
      </c>
      <c r="H36" s="221" t="str">
        <f t="shared" si="5"/>
        <v>United States</v>
      </c>
      <c r="I36" s="221" t="str">
        <f t="shared" si="6"/>
        <v>Supply Chain</v>
      </c>
      <c r="J36" s="287">
        <f t="shared" si="7"/>
        <v>50</v>
      </c>
      <c r="K36" s="287">
        <f t="shared" si="8"/>
        <v>18000</v>
      </c>
      <c r="L36" s="288">
        <f t="shared" si="9"/>
        <v>0.16605166051660517</v>
      </c>
      <c r="M36" s="289">
        <f t="shared" si="10"/>
        <v>360</v>
      </c>
      <c r="N36" s="249">
        <v>0</v>
      </c>
      <c r="O36" s="249">
        <v>0</v>
      </c>
      <c r="P36" s="250">
        <v>45</v>
      </c>
      <c r="Q36" s="250">
        <v>45</v>
      </c>
      <c r="R36" s="250">
        <v>45</v>
      </c>
      <c r="S36" s="250">
        <v>45</v>
      </c>
      <c r="T36" s="250">
        <v>45</v>
      </c>
      <c r="U36" s="250">
        <v>45</v>
      </c>
      <c r="V36" s="250">
        <v>45</v>
      </c>
      <c r="W36" s="250">
        <v>45</v>
      </c>
      <c r="X36" s="250"/>
      <c r="Y36" s="250"/>
      <c r="Z36" s="60"/>
      <c r="AA36" s="26"/>
    </row>
    <row r="37" spans="2:27" x14ac:dyDescent="0.35">
      <c r="B37" s="29"/>
      <c r="C37" s="68"/>
      <c r="D37" s="286" t="s">
        <v>118</v>
      </c>
      <c r="E37" s="286" t="s">
        <v>176</v>
      </c>
      <c r="F37" s="221" t="str">
        <f t="shared" si="3"/>
        <v>GDS Manager</v>
      </c>
      <c r="G37" s="221" t="str">
        <f t="shared" si="4"/>
        <v>Manager</v>
      </c>
      <c r="H37" s="221" t="str">
        <f t="shared" si="5"/>
        <v>India</v>
      </c>
      <c r="I37" s="221" t="str">
        <f t="shared" si="6"/>
        <v>GDS</v>
      </c>
      <c r="J37" s="287">
        <f t="shared" si="7"/>
        <v>34</v>
      </c>
      <c r="K37" s="287">
        <f t="shared" si="8"/>
        <v>12240</v>
      </c>
      <c r="L37" s="288">
        <f t="shared" si="9"/>
        <v>0.16605166051660517</v>
      </c>
      <c r="M37" s="289">
        <f t="shared" si="10"/>
        <v>360</v>
      </c>
      <c r="N37" s="249">
        <v>0</v>
      </c>
      <c r="O37" s="249">
        <v>0</v>
      </c>
      <c r="P37" s="250">
        <v>45</v>
      </c>
      <c r="Q37" s="250">
        <v>45</v>
      </c>
      <c r="R37" s="250">
        <v>45</v>
      </c>
      <c r="S37" s="250">
        <v>45</v>
      </c>
      <c r="T37" s="250">
        <v>45</v>
      </c>
      <c r="U37" s="250">
        <v>45</v>
      </c>
      <c r="V37" s="250">
        <v>45</v>
      </c>
      <c r="W37" s="250">
        <v>45</v>
      </c>
      <c r="X37" s="250"/>
      <c r="Y37" s="250"/>
      <c r="Z37" s="60"/>
      <c r="AA37" s="26"/>
    </row>
    <row r="38" spans="2:27" x14ac:dyDescent="0.35">
      <c r="B38" s="29"/>
      <c r="C38" s="68"/>
      <c r="D38" s="286" t="s">
        <v>119</v>
      </c>
      <c r="E38" s="286" t="s">
        <v>176</v>
      </c>
      <c r="F38" s="221" t="str">
        <f t="shared" si="3"/>
        <v>GDS Senior</v>
      </c>
      <c r="G38" s="221" t="str">
        <f t="shared" si="4"/>
        <v>Senior</v>
      </c>
      <c r="H38" s="221" t="str">
        <f t="shared" si="5"/>
        <v>India</v>
      </c>
      <c r="I38" s="221" t="str">
        <f t="shared" si="6"/>
        <v>GDS</v>
      </c>
      <c r="J38" s="287">
        <f t="shared" si="7"/>
        <v>21</v>
      </c>
      <c r="K38" s="287">
        <f t="shared" si="8"/>
        <v>7560</v>
      </c>
      <c r="L38" s="288">
        <f t="shared" si="9"/>
        <v>0.16605166051660517</v>
      </c>
      <c r="M38" s="289">
        <f t="shared" si="10"/>
        <v>360</v>
      </c>
      <c r="N38" s="249">
        <v>0</v>
      </c>
      <c r="O38" s="249">
        <v>0</v>
      </c>
      <c r="P38" s="250">
        <v>45</v>
      </c>
      <c r="Q38" s="250">
        <v>45</v>
      </c>
      <c r="R38" s="250">
        <v>45</v>
      </c>
      <c r="S38" s="250">
        <v>45</v>
      </c>
      <c r="T38" s="250">
        <v>45</v>
      </c>
      <c r="U38" s="250">
        <v>45</v>
      </c>
      <c r="V38" s="250">
        <v>45</v>
      </c>
      <c r="W38" s="250">
        <v>45</v>
      </c>
      <c r="X38" s="250"/>
      <c r="Y38" s="250"/>
      <c r="Z38" s="60"/>
      <c r="AA38" s="26"/>
    </row>
    <row r="39" spans="2:27" x14ac:dyDescent="0.35">
      <c r="B39" s="29"/>
      <c r="C39" s="68"/>
      <c r="D39" s="286"/>
      <c r="E39" s="286"/>
      <c r="F39" s="221" t="str">
        <f t="shared" si="3"/>
        <v/>
      </c>
      <c r="G39" s="221" t="str">
        <f t="shared" si="4"/>
        <v/>
      </c>
      <c r="H39" s="221" t="str">
        <f t="shared" si="5"/>
        <v/>
      </c>
      <c r="I39" s="221" t="str">
        <f t="shared" si="6"/>
        <v/>
      </c>
      <c r="J39" s="287" t="str">
        <f t="shared" si="7"/>
        <v/>
      </c>
      <c r="K39" s="287" t="str">
        <f t="shared" si="8"/>
        <v/>
      </c>
      <c r="L39" s="288"/>
      <c r="M39" s="289"/>
      <c r="N39" s="249"/>
      <c r="O39" s="249"/>
      <c r="P39" s="249"/>
      <c r="Q39" s="249"/>
      <c r="R39" s="249"/>
      <c r="S39" s="249"/>
      <c r="T39" s="249"/>
      <c r="U39" s="249"/>
      <c r="V39" s="249"/>
      <c r="W39" s="249"/>
      <c r="X39" s="249"/>
      <c r="Y39" s="249"/>
      <c r="Z39" s="60"/>
      <c r="AA39" s="26"/>
    </row>
    <row r="40" spans="2:27" x14ac:dyDescent="0.35">
      <c r="B40" s="29"/>
      <c r="C40" s="68"/>
      <c r="D40" s="286"/>
      <c r="E40" s="286" t="str">
        <f>IF(D40=0,"",IF(VLOOKUP(D40,Resources,2,FALSE)=0,"",VLOOKUP(D40,Resources,2,FALSE)))</f>
        <v/>
      </c>
      <c r="F40" s="221" t="str">
        <f t="shared" si="3"/>
        <v/>
      </c>
      <c r="G40" s="221" t="str">
        <f t="shared" si="4"/>
        <v/>
      </c>
      <c r="H40" s="221" t="str">
        <f t="shared" si="5"/>
        <v/>
      </c>
      <c r="I40" s="221" t="str">
        <f t="shared" si="6"/>
        <v/>
      </c>
      <c r="J40" s="287" t="str">
        <f t="shared" si="7"/>
        <v/>
      </c>
      <c r="K40" s="287" t="str">
        <f t="shared" si="8"/>
        <v/>
      </c>
      <c r="L40" s="288"/>
      <c r="M40" s="289" t="str">
        <f>IF(SUM(N40:Y40)=0,"",SUM(N40:Y40))</f>
        <v/>
      </c>
      <c r="N40" s="249"/>
      <c r="O40" s="249"/>
      <c r="P40" s="249"/>
      <c r="Q40" s="249"/>
      <c r="R40" s="249"/>
      <c r="S40" s="249"/>
      <c r="T40" s="249"/>
      <c r="U40" s="249"/>
      <c r="V40" s="249"/>
      <c r="W40" s="249"/>
      <c r="X40" s="249"/>
      <c r="Y40" s="249"/>
      <c r="Z40" s="60"/>
      <c r="AA40" s="26"/>
    </row>
    <row r="41" spans="2:27" x14ac:dyDescent="0.35">
      <c r="B41" s="29"/>
      <c r="C41" s="111"/>
      <c r="D41" s="113"/>
      <c r="E41" s="113"/>
      <c r="F41" s="113"/>
      <c r="G41" s="113"/>
      <c r="H41" s="113"/>
      <c r="I41" s="113"/>
      <c r="J41" s="113"/>
      <c r="K41" s="113"/>
      <c r="L41" s="113"/>
      <c r="M41" s="113"/>
      <c r="N41" s="113"/>
      <c r="O41" s="113"/>
      <c r="P41" s="113"/>
      <c r="Q41" s="113"/>
      <c r="R41" s="113"/>
      <c r="S41" s="113"/>
      <c r="T41" s="113"/>
      <c r="U41" s="113"/>
      <c r="V41" s="113"/>
      <c r="W41" s="113"/>
      <c r="X41" s="114"/>
      <c r="Y41" s="114"/>
      <c r="Z41" s="118"/>
      <c r="AA41" s="26"/>
    </row>
    <row r="42" spans="2:27" x14ac:dyDescent="0.35">
      <c r="B42" s="25"/>
      <c r="C42" s="152"/>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26"/>
    </row>
    <row r="43" spans="2:27" x14ac:dyDescent="0.35">
      <c r="B43" s="25"/>
      <c r="C43" s="290"/>
      <c r="D43" s="290"/>
      <c r="E43" s="290"/>
      <c r="F43" s="290"/>
      <c r="G43" s="290"/>
      <c r="H43" s="290"/>
      <c r="I43" s="290"/>
      <c r="J43" s="290"/>
      <c r="K43" s="290"/>
      <c r="L43" s="290"/>
      <c r="M43" s="290"/>
      <c r="N43" s="290"/>
      <c r="O43" s="290"/>
      <c r="P43" s="290"/>
      <c r="Q43" s="290"/>
      <c r="R43" s="290"/>
      <c r="S43" s="290"/>
      <c r="T43" s="290"/>
      <c r="U43" s="290"/>
      <c r="V43" s="290"/>
      <c r="W43" s="290"/>
      <c r="X43" s="290"/>
      <c r="Y43" s="290"/>
      <c r="Z43" s="290"/>
      <c r="AA43" s="26"/>
    </row>
    <row r="44" spans="2:27" x14ac:dyDescent="0.35">
      <c r="B44" s="25"/>
      <c r="C44" s="290"/>
      <c r="D44" s="290"/>
      <c r="E44" s="290"/>
      <c r="F44" s="290"/>
      <c r="G44" s="290"/>
      <c r="H44" s="290"/>
      <c r="I44" s="290"/>
      <c r="J44" s="290"/>
      <c r="K44" s="290"/>
      <c r="L44" s="290"/>
      <c r="M44" s="290"/>
      <c r="N44" s="290"/>
      <c r="O44" s="290"/>
      <c r="P44" s="290"/>
      <c r="Q44" s="290"/>
      <c r="R44" s="290"/>
      <c r="S44" s="290"/>
      <c r="T44" s="290"/>
      <c r="U44" s="290"/>
      <c r="V44" s="290"/>
      <c r="W44" s="290"/>
      <c r="X44" s="290"/>
      <c r="Y44" s="290"/>
      <c r="Z44" s="290"/>
      <c r="AA44" s="26"/>
    </row>
    <row r="45" spans="2:27" x14ac:dyDescent="0.35">
      <c r="B45" s="25"/>
      <c r="C45" s="290"/>
      <c r="D45" s="290"/>
      <c r="E45" s="290"/>
      <c r="F45" s="290"/>
      <c r="G45" s="290"/>
      <c r="H45" s="290"/>
      <c r="I45" s="290"/>
      <c r="J45" s="290"/>
      <c r="K45" s="290"/>
      <c r="L45" s="290"/>
      <c r="M45" s="290"/>
      <c r="N45" s="290"/>
      <c r="O45" s="290"/>
      <c r="P45" s="290"/>
      <c r="Q45" s="290"/>
      <c r="R45" s="290"/>
      <c r="S45" s="290"/>
      <c r="T45" s="290"/>
      <c r="U45" s="290"/>
      <c r="V45" s="290"/>
      <c r="W45" s="290"/>
      <c r="X45" s="290"/>
      <c r="Y45" s="290"/>
      <c r="Z45" s="290"/>
      <c r="AA45" s="26"/>
    </row>
    <row r="46" spans="2:27" x14ac:dyDescent="0.35">
      <c r="B46" s="25"/>
      <c r="C46" s="290"/>
      <c r="D46" s="290"/>
      <c r="E46" s="290"/>
      <c r="F46" s="290"/>
      <c r="G46" s="290"/>
      <c r="H46" s="290"/>
      <c r="I46" s="290"/>
      <c r="J46" s="290"/>
      <c r="K46" s="290"/>
      <c r="L46" s="290"/>
      <c r="M46" s="290"/>
      <c r="N46" s="290"/>
      <c r="O46" s="290"/>
      <c r="P46" s="290"/>
      <c r="Q46" s="290"/>
      <c r="R46" s="290"/>
      <c r="S46" s="290"/>
      <c r="T46" s="290"/>
      <c r="U46" s="290"/>
      <c r="V46" s="290"/>
      <c r="W46" s="290"/>
      <c r="X46" s="290"/>
      <c r="Y46" s="290"/>
      <c r="Z46" s="290"/>
      <c r="AA46" s="26"/>
    </row>
    <row r="47" spans="2:27" x14ac:dyDescent="0.35">
      <c r="B47" s="25"/>
      <c r="C47" s="290"/>
      <c r="D47" s="290"/>
      <c r="E47" s="290"/>
      <c r="F47" s="290"/>
      <c r="G47" s="290"/>
      <c r="H47" s="290"/>
      <c r="I47" s="290"/>
      <c r="J47" s="290"/>
      <c r="K47" s="290"/>
      <c r="L47" s="290"/>
      <c r="M47" s="290"/>
      <c r="N47" s="290"/>
      <c r="O47" s="290"/>
      <c r="P47" s="290"/>
      <c r="Q47" s="290"/>
      <c r="R47" s="290"/>
      <c r="S47" s="290"/>
      <c r="T47" s="290"/>
      <c r="U47" s="290"/>
      <c r="V47" s="290"/>
      <c r="W47" s="290"/>
      <c r="X47" s="290"/>
      <c r="Y47" s="290"/>
      <c r="Z47" s="290"/>
      <c r="AA47" s="26"/>
    </row>
    <row r="48" spans="2:27" x14ac:dyDescent="0.35">
      <c r="B48" s="25"/>
      <c r="C48" s="290"/>
      <c r="D48" s="290"/>
      <c r="E48" s="290"/>
      <c r="F48" s="290"/>
      <c r="G48" s="290"/>
      <c r="H48" s="290"/>
      <c r="I48" s="290"/>
      <c r="J48" s="290"/>
      <c r="K48" s="290"/>
      <c r="L48" s="290"/>
      <c r="M48" s="290"/>
      <c r="N48" s="290"/>
      <c r="O48" s="290"/>
      <c r="P48" s="290"/>
      <c r="Q48" s="290"/>
      <c r="R48" s="290"/>
      <c r="S48" s="290"/>
      <c r="T48" s="290"/>
      <c r="U48" s="290"/>
      <c r="V48" s="290"/>
      <c r="W48" s="290"/>
      <c r="X48" s="290"/>
      <c r="Y48" s="290"/>
      <c r="Z48" s="290"/>
      <c r="AA48" s="26"/>
    </row>
    <row r="49" spans="2:27" x14ac:dyDescent="0.35">
      <c r="B49" s="25"/>
      <c r="C49" s="290"/>
      <c r="D49" s="290"/>
      <c r="E49" s="290"/>
      <c r="F49" s="290"/>
      <c r="G49" s="290"/>
      <c r="H49" s="290"/>
      <c r="I49" s="290"/>
      <c r="J49" s="290"/>
      <c r="K49" s="290"/>
      <c r="L49" s="290"/>
      <c r="M49" s="290"/>
      <c r="N49" s="290"/>
      <c r="O49" s="290"/>
      <c r="P49" s="290"/>
      <c r="Q49" s="290"/>
      <c r="R49" s="290"/>
      <c r="S49" s="290"/>
      <c r="T49" s="290"/>
      <c r="U49" s="290"/>
      <c r="V49" s="290"/>
      <c r="W49" s="290"/>
      <c r="X49" s="290"/>
      <c r="Y49" s="290"/>
      <c r="Z49" s="290"/>
      <c r="AA49" s="26"/>
    </row>
    <row r="50" spans="2:27" x14ac:dyDescent="0.35">
      <c r="B50" s="25"/>
      <c r="C50" s="290"/>
      <c r="D50" s="290"/>
      <c r="E50" s="290"/>
      <c r="F50" s="290"/>
      <c r="G50" s="290"/>
      <c r="H50" s="290"/>
      <c r="I50" s="290"/>
      <c r="J50" s="290"/>
      <c r="K50" s="290"/>
      <c r="L50" s="290"/>
      <c r="M50" s="290"/>
      <c r="N50" s="290"/>
      <c r="O50" s="290"/>
      <c r="P50" s="290"/>
      <c r="Q50" s="290"/>
      <c r="R50" s="290"/>
      <c r="S50" s="290"/>
      <c r="T50" s="290"/>
      <c r="U50" s="290"/>
      <c r="V50" s="290"/>
      <c r="W50" s="290"/>
      <c r="X50" s="290"/>
      <c r="Y50" s="290"/>
      <c r="Z50" s="290"/>
      <c r="AA50" s="26"/>
    </row>
    <row r="51" spans="2:27" x14ac:dyDescent="0.35">
      <c r="B51" s="25"/>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90"/>
      <c r="AA51" s="26"/>
    </row>
    <row r="52" spans="2:27" x14ac:dyDescent="0.35">
      <c r="B52" s="25"/>
      <c r="C52" s="290"/>
      <c r="D52" s="290"/>
      <c r="E52" s="290"/>
      <c r="F52" s="290"/>
      <c r="G52" s="290"/>
      <c r="H52" s="290"/>
      <c r="I52" s="290"/>
      <c r="J52" s="290"/>
      <c r="K52" s="290"/>
      <c r="L52" s="290"/>
      <c r="M52" s="290"/>
      <c r="N52" s="290"/>
      <c r="O52" s="290"/>
      <c r="P52" s="290"/>
      <c r="Q52" s="290"/>
      <c r="R52" s="290"/>
      <c r="S52" s="290"/>
      <c r="T52" s="290"/>
      <c r="U52" s="290"/>
      <c r="V52" s="290"/>
      <c r="W52" s="290"/>
      <c r="X52" s="290"/>
      <c r="Y52" s="290"/>
      <c r="Z52" s="290"/>
      <c r="AA52" s="26"/>
    </row>
    <row r="53" spans="2:27" x14ac:dyDescent="0.35">
      <c r="B53" s="25"/>
      <c r="C53" s="290"/>
      <c r="D53" s="290"/>
      <c r="E53" s="290"/>
      <c r="F53" s="290"/>
      <c r="G53" s="290"/>
      <c r="H53" s="290"/>
      <c r="I53" s="290"/>
      <c r="J53" s="290"/>
      <c r="K53" s="290"/>
      <c r="L53" s="290"/>
      <c r="M53" s="290"/>
      <c r="N53" s="290"/>
      <c r="O53" s="290"/>
      <c r="P53" s="290"/>
      <c r="Q53" s="290"/>
      <c r="R53" s="290"/>
      <c r="S53" s="290"/>
      <c r="T53" s="290"/>
      <c r="U53" s="290"/>
      <c r="V53" s="290"/>
      <c r="W53" s="290"/>
      <c r="X53" s="290"/>
      <c r="Y53" s="290"/>
      <c r="Z53" s="290"/>
      <c r="AA53" s="26"/>
    </row>
    <row r="54" spans="2:27" x14ac:dyDescent="0.35">
      <c r="B54" s="25"/>
      <c r="C54" s="290"/>
      <c r="D54" s="290"/>
      <c r="E54" s="290"/>
      <c r="F54" s="290"/>
      <c r="G54" s="290"/>
      <c r="H54" s="290"/>
      <c r="I54" s="290"/>
      <c r="J54" s="290"/>
      <c r="K54" s="290"/>
      <c r="L54" s="290"/>
      <c r="M54" s="290"/>
      <c r="N54" s="290"/>
      <c r="O54" s="290"/>
      <c r="P54" s="290"/>
      <c r="Q54" s="290"/>
      <c r="R54" s="290"/>
      <c r="S54" s="290"/>
      <c r="T54" s="290"/>
      <c r="U54" s="290"/>
      <c r="V54" s="290"/>
      <c r="W54" s="290"/>
      <c r="X54" s="290"/>
      <c r="Y54" s="290"/>
      <c r="Z54" s="290"/>
      <c r="AA54" s="26"/>
    </row>
    <row r="55" spans="2:27" x14ac:dyDescent="0.35">
      <c r="B55" s="25"/>
      <c r="C55" s="290"/>
      <c r="D55" s="290"/>
      <c r="E55" s="290"/>
      <c r="F55" s="290"/>
      <c r="G55" s="290"/>
      <c r="H55" s="290"/>
      <c r="I55" s="290"/>
      <c r="J55" s="290"/>
      <c r="K55" s="290"/>
      <c r="L55" s="290"/>
      <c r="M55" s="290"/>
      <c r="N55" s="290"/>
      <c r="O55" s="290"/>
      <c r="P55" s="290"/>
      <c r="Q55" s="290"/>
      <c r="R55" s="290"/>
      <c r="S55" s="290"/>
      <c r="T55" s="290"/>
      <c r="U55" s="290"/>
      <c r="V55" s="290"/>
      <c r="W55" s="290"/>
      <c r="X55" s="290"/>
      <c r="Y55" s="290"/>
      <c r="Z55" s="290"/>
      <c r="AA55" s="26"/>
    </row>
    <row r="56" spans="2:27" x14ac:dyDescent="0.35">
      <c r="B56" s="25"/>
      <c r="C56" s="290"/>
      <c r="D56" s="290"/>
      <c r="E56" s="290"/>
      <c r="F56" s="290"/>
      <c r="G56" s="290"/>
      <c r="H56" s="290"/>
      <c r="I56" s="290"/>
      <c r="J56" s="290"/>
      <c r="K56" s="290"/>
      <c r="L56" s="290"/>
      <c r="M56" s="290"/>
      <c r="N56" s="290"/>
      <c r="O56" s="290"/>
      <c r="P56" s="290"/>
      <c r="Q56" s="290"/>
      <c r="R56" s="290"/>
      <c r="S56" s="290"/>
      <c r="T56" s="290"/>
      <c r="U56" s="290"/>
      <c r="V56" s="290"/>
      <c r="W56" s="290"/>
      <c r="X56" s="290"/>
      <c r="Y56" s="290"/>
      <c r="Z56" s="290"/>
      <c r="AA56" s="26"/>
    </row>
    <row r="57" spans="2:27" x14ac:dyDescent="0.35">
      <c r="B57" s="25"/>
      <c r="C57" s="290"/>
      <c r="D57" s="290"/>
      <c r="E57" s="290"/>
      <c r="F57" s="290"/>
      <c r="G57" s="290"/>
      <c r="H57" s="290"/>
      <c r="I57" s="290"/>
      <c r="J57" s="290"/>
      <c r="K57" s="290"/>
      <c r="L57" s="290"/>
      <c r="M57" s="290"/>
      <c r="N57" s="290"/>
      <c r="O57" s="290"/>
      <c r="P57" s="290"/>
      <c r="Q57" s="290"/>
      <c r="R57" s="290"/>
      <c r="S57" s="290"/>
      <c r="T57" s="290"/>
      <c r="U57" s="290"/>
      <c r="V57" s="290"/>
      <c r="W57" s="290"/>
      <c r="X57" s="290"/>
      <c r="Y57" s="290"/>
      <c r="Z57" s="290"/>
      <c r="AA57" s="26"/>
    </row>
    <row r="58" spans="2:27" x14ac:dyDescent="0.35">
      <c r="B58" s="25"/>
      <c r="C58" s="290"/>
      <c r="D58" s="290"/>
      <c r="E58" s="290"/>
      <c r="F58" s="290"/>
      <c r="G58" s="290"/>
      <c r="H58" s="290"/>
      <c r="I58" s="290"/>
      <c r="J58" s="290"/>
      <c r="K58" s="290"/>
      <c r="L58" s="290"/>
      <c r="M58" s="290"/>
      <c r="N58" s="290"/>
      <c r="O58" s="290"/>
      <c r="P58" s="290"/>
      <c r="Q58" s="290"/>
      <c r="R58" s="290"/>
      <c r="S58" s="290"/>
      <c r="T58" s="290"/>
      <c r="U58" s="290"/>
      <c r="V58" s="290"/>
      <c r="W58" s="290"/>
      <c r="X58" s="290"/>
      <c r="Y58" s="290"/>
      <c r="Z58" s="290"/>
      <c r="AA58" s="26"/>
    </row>
    <row r="59" spans="2:27" x14ac:dyDescent="0.35">
      <c r="B59" s="25"/>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90"/>
      <c r="AA59" s="26"/>
    </row>
    <row r="60" spans="2:27" x14ac:dyDescent="0.35">
      <c r="B60" s="25"/>
      <c r="C60" s="290"/>
      <c r="D60" s="290"/>
      <c r="E60" s="290"/>
      <c r="F60" s="290"/>
      <c r="G60" s="290"/>
      <c r="H60" s="290"/>
      <c r="I60" s="290"/>
      <c r="J60" s="290"/>
      <c r="K60" s="290"/>
      <c r="L60" s="290"/>
      <c r="M60" s="290"/>
      <c r="N60" s="290"/>
      <c r="O60" s="290"/>
      <c r="P60" s="290"/>
      <c r="Q60" s="290"/>
      <c r="R60" s="290"/>
      <c r="S60" s="290"/>
      <c r="T60" s="290"/>
      <c r="U60" s="290"/>
      <c r="V60" s="290"/>
      <c r="W60" s="290"/>
      <c r="X60" s="290"/>
      <c r="Y60" s="290"/>
      <c r="Z60" s="290"/>
      <c r="AA60" s="26"/>
    </row>
    <row r="61" spans="2:27" x14ac:dyDescent="0.35">
      <c r="B61" s="25"/>
      <c r="C61" s="290"/>
      <c r="D61" s="290"/>
      <c r="E61" s="290"/>
      <c r="F61" s="290"/>
      <c r="G61" s="290"/>
      <c r="H61" s="290"/>
      <c r="I61" s="290"/>
      <c r="J61" s="290"/>
      <c r="K61" s="290"/>
      <c r="L61" s="290"/>
      <c r="M61" s="290"/>
      <c r="N61" s="290"/>
      <c r="O61" s="290"/>
      <c r="P61" s="290"/>
      <c r="Q61" s="290"/>
      <c r="R61" s="290"/>
      <c r="S61" s="290"/>
      <c r="T61" s="290"/>
      <c r="U61" s="290"/>
      <c r="V61" s="290"/>
      <c r="W61" s="290"/>
      <c r="X61" s="290"/>
      <c r="Y61" s="290"/>
      <c r="Z61" s="290"/>
      <c r="AA61" s="26"/>
    </row>
    <row r="62" spans="2:27" x14ac:dyDescent="0.35">
      <c r="B62" s="25"/>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90"/>
      <c r="AA62" s="26"/>
    </row>
    <row r="63" spans="2:27" x14ac:dyDescent="0.35">
      <c r="B63" s="25"/>
      <c r="C63" s="290"/>
      <c r="D63" s="290"/>
      <c r="E63" s="290"/>
      <c r="F63" s="290"/>
      <c r="G63" s="290"/>
      <c r="H63" s="290"/>
      <c r="I63" s="290"/>
      <c r="J63" s="290"/>
      <c r="K63" s="290"/>
      <c r="L63" s="290"/>
      <c r="M63" s="290"/>
      <c r="N63" s="290"/>
      <c r="O63" s="290"/>
      <c r="P63" s="290"/>
      <c r="Q63" s="290"/>
      <c r="R63" s="290"/>
      <c r="S63" s="290"/>
      <c r="T63" s="290"/>
      <c r="U63" s="290"/>
      <c r="V63" s="290"/>
      <c r="W63" s="290"/>
      <c r="X63" s="290"/>
      <c r="Y63" s="290"/>
      <c r="Z63" s="290"/>
      <c r="AA63" s="26"/>
    </row>
    <row r="64" spans="2:27" x14ac:dyDescent="0.35">
      <c r="B64" s="25"/>
      <c r="C64" s="290"/>
      <c r="D64" s="290"/>
      <c r="E64" s="290"/>
      <c r="F64" s="290"/>
      <c r="G64" s="290"/>
      <c r="H64" s="290"/>
      <c r="I64" s="290"/>
      <c r="J64" s="290"/>
      <c r="K64" s="290"/>
      <c r="L64" s="290"/>
      <c r="M64" s="290"/>
      <c r="N64" s="290"/>
      <c r="O64" s="290"/>
      <c r="P64" s="290"/>
      <c r="Q64" s="290"/>
      <c r="R64" s="290"/>
      <c r="S64" s="290"/>
      <c r="T64" s="290"/>
      <c r="U64" s="290"/>
      <c r="V64" s="290"/>
      <c r="W64" s="290"/>
      <c r="X64" s="290"/>
      <c r="Y64" s="290"/>
      <c r="Z64" s="290"/>
      <c r="AA64" s="26"/>
    </row>
    <row r="65" spans="2:27" x14ac:dyDescent="0.35">
      <c r="B65" s="25"/>
      <c r="C65" s="290"/>
      <c r="D65" s="290"/>
      <c r="E65" s="290"/>
      <c r="F65" s="290"/>
      <c r="G65" s="290"/>
      <c r="H65" s="290"/>
      <c r="I65" s="290"/>
      <c r="J65" s="290"/>
      <c r="K65" s="290"/>
      <c r="L65" s="290"/>
      <c r="M65" s="290"/>
      <c r="N65" s="290"/>
      <c r="O65" s="290"/>
      <c r="P65" s="290"/>
      <c r="Q65" s="290"/>
      <c r="R65" s="290"/>
      <c r="S65" s="290"/>
      <c r="T65" s="290"/>
      <c r="U65" s="290"/>
      <c r="V65" s="290"/>
      <c r="W65" s="290"/>
      <c r="X65" s="290"/>
      <c r="Y65" s="290"/>
      <c r="Z65" s="290"/>
      <c r="AA65" s="26"/>
    </row>
    <row r="66" spans="2:27" x14ac:dyDescent="0.35">
      <c r="B66" s="25"/>
      <c r="C66" s="290"/>
      <c r="D66" s="290"/>
      <c r="E66" s="290"/>
      <c r="F66" s="290"/>
      <c r="G66" s="290"/>
      <c r="H66" s="290"/>
      <c r="I66" s="290"/>
      <c r="J66" s="290"/>
      <c r="K66" s="290"/>
      <c r="L66" s="290"/>
      <c r="M66" s="290"/>
      <c r="N66" s="290"/>
      <c r="O66" s="290"/>
      <c r="P66" s="290"/>
      <c r="Q66" s="290"/>
      <c r="R66" s="290"/>
      <c r="S66" s="290"/>
      <c r="T66" s="290"/>
      <c r="U66" s="290"/>
      <c r="V66" s="290"/>
      <c r="W66" s="290"/>
      <c r="X66" s="290"/>
      <c r="Y66" s="290"/>
      <c r="Z66" s="290"/>
      <c r="AA66" s="26"/>
    </row>
    <row r="67" spans="2:27" x14ac:dyDescent="0.35">
      <c r="B67" s="25"/>
      <c r="C67" s="290"/>
      <c r="D67" s="290"/>
      <c r="E67" s="290"/>
      <c r="F67" s="290"/>
      <c r="G67" s="290"/>
      <c r="H67" s="290"/>
      <c r="I67" s="290"/>
      <c r="J67" s="290"/>
      <c r="K67" s="290"/>
      <c r="L67" s="290"/>
      <c r="M67" s="290"/>
      <c r="N67" s="290"/>
      <c r="O67" s="290"/>
      <c r="P67" s="290"/>
      <c r="Q67" s="290"/>
      <c r="R67" s="290"/>
      <c r="S67" s="290"/>
      <c r="T67" s="290"/>
      <c r="U67" s="290"/>
      <c r="V67" s="290"/>
      <c r="W67" s="290"/>
      <c r="X67" s="290"/>
      <c r="Y67" s="290"/>
      <c r="Z67" s="290"/>
      <c r="AA67" s="26"/>
    </row>
    <row r="68" spans="2:27" x14ac:dyDescent="0.35">
      <c r="B68" s="25"/>
      <c r="C68" s="290"/>
      <c r="D68" s="290"/>
      <c r="E68" s="290"/>
      <c r="F68" s="290"/>
      <c r="G68" s="290"/>
      <c r="H68" s="290"/>
      <c r="I68" s="290"/>
      <c r="J68" s="290"/>
      <c r="K68" s="290"/>
      <c r="L68" s="290"/>
      <c r="M68" s="290"/>
      <c r="N68" s="290"/>
      <c r="O68" s="290"/>
      <c r="P68" s="290"/>
      <c r="Q68" s="290"/>
      <c r="R68" s="290"/>
      <c r="S68" s="290"/>
      <c r="T68" s="290"/>
      <c r="U68" s="290"/>
      <c r="V68" s="290"/>
      <c r="W68" s="290"/>
      <c r="X68" s="290"/>
      <c r="Y68" s="290"/>
      <c r="Z68" s="290"/>
      <c r="AA68" s="26"/>
    </row>
    <row r="69" spans="2:27" x14ac:dyDescent="0.35">
      <c r="B69" s="25"/>
      <c r="C69" s="290"/>
      <c r="D69" s="290"/>
      <c r="E69" s="290"/>
      <c r="F69" s="290"/>
      <c r="G69" s="290"/>
      <c r="H69" s="290"/>
      <c r="I69" s="290"/>
      <c r="J69" s="290"/>
      <c r="K69" s="290"/>
      <c r="L69" s="290"/>
      <c r="M69" s="290"/>
      <c r="N69" s="290"/>
      <c r="O69" s="290"/>
      <c r="P69" s="290"/>
      <c r="Q69" s="290"/>
      <c r="R69" s="290"/>
      <c r="S69" s="290"/>
      <c r="T69" s="290"/>
      <c r="U69" s="290"/>
      <c r="V69" s="290"/>
      <c r="W69" s="290"/>
      <c r="X69" s="290"/>
      <c r="Y69" s="290"/>
      <c r="Z69" s="290"/>
      <c r="AA69" s="26"/>
    </row>
    <row r="70" spans="2:27" x14ac:dyDescent="0.35">
      <c r="B70" s="25"/>
      <c r="C70" s="290"/>
      <c r="D70" s="290"/>
      <c r="E70" s="290"/>
      <c r="F70" s="290"/>
      <c r="G70" s="290"/>
      <c r="H70" s="290"/>
      <c r="I70" s="290"/>
      <c r="J70" s="290"/>
      <c r="K70" s="290"/>
      <c r="L70" s="290"/>
      <c r="M70" s="290"/>
      <c r="N70" s="290"/>
      <c r="O70" s="290"/>
      <c r="P70" s="290"/>
      <c r="Q70" s="290"/>
      <c r="R70" s="290"/>
      <c r="S70" s="290"/>
      <c r="T70" s="290"/>
      <c r="U70" s="290"/>
      <c r="V70" s="290"/>
      <c r="W70" s="290"/>
      <c r="X70" s="290"/>
      <c r="Y70" s="290"/>
      <c r="Z70" s="290"/>
      <c r="AA70" s="26"/>
    </row>
    <row r="71" spans="2:27" x14ac:dyDescent="0.35">
      <c r="B71" s="25"/>
      <c r="C71" s="290"/>
      <c r="D71" s="290"/>
      <c r="E71" s="290"/>
      <c r="F71" s="290"/>
      <c r="G71" s="290"/>
      <c r="H71" s="290"/>
      <c r="I71" s="290"/>
      <c r="J71" s="290"/>
      <c r="K71" s="290"/>
      <c r="L71" s="290"/>
      <c r="M71" s="290"/>
      <c r="N71" s="290"/>
      <c r="O71" s="290"/>
      <c r="P71" s="290"/>
      <c r="Q71" s="290"/>
      <c r="R71" s="290"/>
      <c r="S71" s="290"/>
      <c r="T71" s="290"/>
      <c r="U71" s="290"/>
      <c r="V71" s="290"/>
      <c r="W71" s="290"/>
      <c r="X71" s="290"/>
      <c r="Y71" s="290"/>
      <c r="Z71" s="290"/>
      <c r="AA71" s="26"/>
    </row>
    <row r="72" spans="2:27" ht="15" thickBot="1" x14ac:dyDescent="0.4">
      <c r="B72" s="122"/>
      <c r="C72" s="124"/>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126"/>
    </row>
  </sheetData>
  <mergeCells count="38">
    <mergeCell ref="L26:O26"/>
    <mergeCell ref="Q26:R26"/>
    <mergeCell ref="V26:Y26"/>
    <mergeCell ref="L24:O25"/>
    <mergeCell ref="G27:H27"/>
    <mergeCell ref="L27:O27"/>
    <mergeCell ref="Q27:R27"/>
    <mergeCell ref="C21:K22"/>
    <mergeCell ref="D23:E23"/>
    <mergeCell ref="G24:H24"/>
    <mergeCell ref="K24:K25"/>
    <mergeCell ref="V27:Y27"/>
    <mergeCell ref="D27:E27"/>
    <mergeCell ref="F27:F28"/>
    <mergeCell ref="G28:H28"/>
    <mergeCell ref="Q28:R28"/>
    <mergeCell ref="V28:Y28"/>
    <mergeCell ref="Q24:R24"/>
    <mergeCell ref="V24:Y24"/>
    <mergeCell ref="G25:H25"/>
    <mergeCell ref="Q25:R25"/>
    <mergeCell ref="V25:Y25"/>
    <mergeCell ref="G26:H26"/>
    <mergeCell ref="K6:M6"/>
    <mergeCell ref="L7:L8"/>
    <mergeCell ref="M7:M8"/>
    <mergeCell ref="C19:Z20"/>
    <mergeCell ref="H7:I7"/>
    <mergeCell ref="K7:K8"/>
    <mergeCell ref="H8:I8"/>
    <mergeCell ref="H9:I9"/>
    <mergeCell ref="H10:I10"/>
    <mergeCell ref="H11:I11"/>
    <mergeCell ref="H12:I12"/>
    <mergeCell ref="H13:I13"/>
    <mergeCell ref="H14:I14"/>
    <mergeCell ref="H15:I15"/>
    <mergeCell ref="H16:I16"/>
  </mergeCells>
  <conditionalFormatting sqref="K27 U25:U28">
    <cfRule type="cellIs" dxfId="15" priority="6" operator="notBetween">
      <formula>-0.005</formula>
      <formula>0.005</formula>
    </cfRule>
  </conditionalFormatting>
  <conditionalFormatting sqref="K26">
    <cfRule type="cellIs" dxfId="14" priority="5" operator="notBetween">
      <formula>-0.5</formula>
      <formula>0.5</formula>
    </cfRule>
  </conditionalFormatting>
  <conditionalFormatting sqref="P31:Y38">
    <cfRule type="cellIs" dxfId="13" priority="3" operator="equal">
      <formula>0</formula>
    </cfRule>
  </conditionalFormatting>
  <conditionalFormatting sqref="G8:G9 G11:G16">
    <cfRule type="cellIs" dxfId="12" priority="1" operator="notBetween">
      <formula>-0.005</formula>
      <formula>0.005</formula>
    </cfRule>
  </conditionalFormatting>
  <dataValidations count="1">
    <dataValidation type="list" allowBlank="1" showInputMessage="1" showErrorMessage="1" sqref="D31:D40" xr:uid="{CAE2DDC8-F619-4469-B1F1-68887FE5F527}">
      <formula1>Names</formula1>
    </dataValidation>
  </dataValidations>
  <pageMargins left="0.7" right="0.7" top="0.75" bottom="0.75" header="0.3" footer="0.3"/>
  <pageSetup paperSize="9" orientation="portrait" horizontalDpi="30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2252F-360D-4789-887E-B07B91F0FB88}">
  <sheetPr codeName="Sheet16"/>
  <dimension ref="A1:Z70"/>
  <sheetViews>
    <sheetView topLeftCell="A4" zoomScale="76" zoomScaleNormal="130" workbookViewId="0">
      <selection activeCell="J24" sqref="J24:J28"/>
    </sheetView>
  </sheetViews>
  <sheetFormatPr defaultColWidth="8.54296875" defaultRowHeight="14.5" x14ac:dyDescent="0.35"/>
  <cols>
    <col min="1" max="1" width="2" customWidth="1"/>
    <col min="2" max="2" width="2.54296875" style="1" customWidth="1"/>
    <col min="3" max="3" width="3.453125" style="1" customWidth="1"/>
    <col min="4" max="4" width="29.54296875" style="1" customWidth="1"/>
    <col min="5" max="5" width="22.81640625" style="1" customWidth="1"/>
    <col min="6" max="8" width="19.453125" style="1" customWidth="1"/>
    <col min="9" max="9" width="17.54296875" style="1" customWidth="1"/>
    <col min="10" max="10" width="13.54296875" style="1" customWidth="1"/>
    <col min="11" max="11" width="20.1796875" style="1" customWidth="1"/>
    <col min="12" max="12" width="16.54296875" style="1" bestFit="1" customWidth="1"/>
    <col min="13" max="13" width="18.1796875" style="1" customWidth="1"/>
    <col min="14" max="14" width="14.453125" style="1" customWidth="1"/>
    <col min="15" max="18" width="8.54296875" style="1"/>
    <col min="19" max="20" width="9.54296875" style="1" customWidth="1"/>
    <col min="21" max="24" width="8.54296875" style="1"/>
    <col min="25" max="25" width="3.54296875" style="1" customWidth="1"/>
    <col min="26" max="26" width="3.453125" style="1" customWidth="1"/>
    <col min="27" max="16384" width="8.54296875" style="1"/>
  </cols>
  <sheetData>
    <row r="1" spans="2:26" ht="12" customHeight="1" thickBot="1" x14ac:dyDescent="0.4"/>
    <row r="2" spans="2:26" x14ac:dyDescent="0.35">
      <c r="B2" s="20"/>
      <c r="C2" s="231"/>
      <c r="D2" s="231"/>
      <c r="E2" s="231"/>
      <c r="F2" s="231"/>
      <c r="G2" s="231"/>
      <c r="H2" s="231"/>
      <c r="I2" s="231"/>
      <c r="J2" s="231"/>
      <c r="K2" s="231"/>
      <c r="L2" s="231"/>
      <c r="M2" s="231"/>
      <c r="N2" s="231"/>
      <c r="O2" s="231"/>
      <c r="P2" s="231"/>
      <c r="Q2" s="231"/>
      <c r="R2" s="231"/>
      <c r="S2" s="231"/>
      <c r="T2" s="231"/>
      <c r="U2" s="231"/>
      <c r="V2" s="231"/>
      <c r="W2" s="231"/>
      <c r="X2" s="231"/>
      <c r="Y2" s="231"/>
      <c r="Z2" s="23"/>
    </row>
    <row r="3" spans="2:26" ht="27.65" customHeight="1" x14ac:dyDescent="0.35">
      <c r="B3" s="29"/>
      <c r="C3" s="293" t="s">
        <v>135</v>
      </c>
      <c r="D3" s="294"/>
      <c r="E3" s="294"/>
      <c r="F3" s="294"/>
      <c r="G3" s="294"/>
      <c r="H3" s="294"/>
      <c r="I3" s="294"/>
      <c r="J3" s="294"/>
      <c r="K3" s="294"/>
      <c r="L3" s="294"/>
      <c r="M3" s="294"/>
      <c r="N3" s="294"/>
      <c r="O3" s="294"/>
      <c r="P3" s="294"/>
      <c r="Q3" s="294"/>
      <c r="R3" s="294"/>
      <c r="S3" s="294"/>
      <c r="T3" s="294"/>
      <c r="U3" s="294"/>
      <c r="V3" s="294"/>
      <c r="W3" s="294"/>
      <c r="X3" s="295"/>
      <c r="Y3" s="296"/>
      <c r="Z3" s="297"/>
    </row>
    <row r="4" spans="2:26" x14ac:dyDescent="0.35">
      <c r="B4" s="29"/>
      <c r="C4" s="50"/>
      <c r="D4" s="233"/>
      <c r="E4" s="233"/>
      <c r="F4" s="233"/>
      <c r="G4" s="233"/>
      <c r="H4" s="233"/>
      <c r="I4" s="233"/>
      <c r="J4" s="233"/>
      <c r="K4" s="233"/>
      <c r="L4" s="233"/>
      <c r="M4" s="233"/>
      <c r="N4" s="233"/>
      <c r="O4" s="233"/>
      <c r="P4" s="233"/>
      <c r="Q4" s="233"/>
      <c r="R4" s="233"/>
      <c r="S4" s="233"/>
      <c r="T4" s="233"/>
      <c r="U4" s="233"/>
      <c r="V4" s="233"/>
      <c r="W4" s="233"/>
      <c r="X4" s="234"/>
      <c r="Y4" s="56"/>
      <c r="Z4" s="298"/>
    </row>
    <row r="5" spans="2:26" x14ac:dyDescent="0.35">
      <c r="B5" s="29"/>
      <c r="C5" s="205"/>
      <c r="D5" s="235"/>
      <c r="Y5" s="75"/>
      <c r="Z5" s="299"/>
    </row>
    <row r="6" spans="2:26" x14ac:dyDescent="0.35">
      <c r="B6" s="29"/>
      <c r="C6" s="236"/>
      <c r="D6" s="237" t="s">
        <v>136</v>
      </c>
      <c r="E6" s="47"/>
      <c r="F6" s="47"/>
      <c r="G6" s="47"/>
      <c r="H6" s="47"/>
      <c r="I6" s="238"/>
      <c r="K6" s="426" t="s">
        <v>137</v>
      </c>
      <c r="L6" s="427"/>
      <c r="M6" s="428"/>
      <c r="Y6" s="75"/>
      <c r="Z6" s="299"/>
    </row>
    <row r="7" spans="2:26" x14ac:dyDescent="0.35">
      <c r="B7" s="29"/>
      <c r="C7" s="205"/>
      <c r="D7" s="235"/>
      <c r="E7" s="239" t="s">
        <v>138</v>
      </c>
      <c r="F7" s="239" t="s">
        <v>139</v>
      </c>
      <c r="G7" s="240" t="s">
        <v>140</v>
      </c>
      <c r="H7" s="429" t="s">
        <v>141</v>
      </c>
      <c r="I7" s="430"/>
      <c r="K7" s="431" t="s">
        <v>94</v>
      </c>
      <c r="L7" s="431" t="s">
        <v>142</v>
      </c>
      <c r="M7" s="431" t="s">
        <v>62</v>
      </c>
      <c r="Z7" s="299"/>
    </row>
    <row r="8" spans="2:26" s="62" customFormat="1" ht="14.9" customHeight="1" x14ac:dyDescent="0.35">
      <c r="B8" s="241"/>
      <c r="C8" s="242"/>
      <c r="D8" s="243" t="s">
        <v>143</v>
      </c>
      <c r="E8" s="244">
        <f>SUM(M31:M405)</f>
        <v>1328</v>
      </c>
      <c r="F8" s="244">
        <f>SUM(M9:M16)</f>
        <v>1328</v>
      </c>
      <c r="G8" s="245">
        <f>E8-F8</f>
        <v>0</v>
      </c>
      <c r="H8" s="433"/>
      <c r="I8" s="434"/>
      <c r="J8" s="1"/>
      <c r="K8" s="432"/>
      <c r="L8" s="432"/>
      <c r="M8" s="432"/>
      <c r="N8" s="1"/>
      <c r="O8" s="1"/>
      <c r="P8" s="1"/>
      <c r="Q8" s="1"/>
      <c r="R8" s="1"/>
      <c r="S8" s="1"/>
      <c r="T8" s="1"/>
      <c r="U8" s="1"/>
      <c r="V8" s="1"/>
      <c r="W8" s="1"/>
      <c r="X8" s="1"/>
      <c r="Z8" s="300"/>
    </row>
    <row r="9" spans="2:26" x14ac:dyDescent="0.35">
      <c r="B9" s="29"/>
      <c r="C9" s="68"/>
      <c r="D9" s="243" t="s">
        <v>144</v>
      </c>
      <c r="E9" s="247">
        <f>SUMIF(F31:F405,"GDS *",M31:M405)/E8</f>
        <v>0.27108433734939757</v>
      </c>
      <c r="F9" s="247">
        <f>SUM(M14:M16)/F8</f>
        <v>0.27108433734939757</v>
      </c>
      <c r="G9" s="248">
        <f>E9-F9</f>
        <v>0</v>
      </c>
      <c r="H9" s="433"/>
      <c r="I9" s="434"/>
      <c r="K9" s="341" t="s">
        <v>24</v>
      </c>
      <c r="L9" s="342">
        <f>M9/$F$8</f>
        <v>3.0120481927710843E-2</v>
      </c>
      <c r="M9" s="343">
        <f>'Project Plan - Target '!H39</f>
        <v>40</v>
      </c>
      <c r="Z9" s="299"/>
    </row>
    <row r="10" spans="2:26" x14ac:dyDescent="0.35">
      <c r="B10" s="29"/>
      <c r="C10" s="68"/>
      <c r="D10" s="251" t="s">
        <v>145</v>
      </c>
      <c r="E10" s="252"/>
      <c r="F10" s="252"/>
      <c r="G10" s="252"/>
      <c r="H10" s="435"/>
      <c r="I10" s="436"/>
      <c r="K10" s="341" t="s">
        <v>25</v>
      </c>
      <c r="L10" s="342">
        <f t="shared" ref="L10:L16" si="0">M10/$F$8</f>
        <v>0.15662650602409639</v>
      </c>
      <c r="M10" s="343">
        <f>'Project Plan - Target '!I39+'Project Plan - Target '!J39</f>
        <v>208</v>
      </c>
      <c r="Z10" s="299"/>
    </row>
    <row r="11" spans="2:26" x14ac:dyDescent="0.35">
      <c r="B11" s="29"/>
      <c r="C11" s="68"/>
      <c r="D11" s="253" t="s">
        <v>24</v>
      </c>
      <c r="E11" s="247">
        <f>SUMIF($G$31:$G$405,D11,$L$31:$L$405)</f>
        <v>3.0120481927710843E-2</v>
      </c>
      <c r="F11" s="247">
        <f>L9</f>
        <v>3.0120481927710843E-2</v>
      </c>
      <c r="G11" s="248">
        <f t="shared" ref="G11:G16" si="1">E11-F11</f>
        <v>0</v>
      </c>
      <c r="H11" s="433"/>
      <c r="I11" s="434"/>
      <c r="K11" s="341" t="s">
        <v>26</v>
      </c>
      <c r="L11" s="342">
        <f t="shared" si="0"/>
        <v>0.27108433734939757</v>
      </c>
      <c r="M11" s="343">
        <f>'Project Plan - Target '!K39</f>
        <v>360</v>
      </c>
      <c r="Z11" s="299"/>
    </row>
    <row r="12" spans="2:26" x14ac:dyDescent="0.35">
      <c r="B12" s="29"/>
      <c r="C12" s="68"/>
      <c r="D12" s="253" t="s">
        <v>109</v>
      </c>
      <c r="E12" s="247">
        <f t="shared" ref="E12:E16" si="2">SUMIF($G$31:$G$405,D12,$L$31:$L$405)</f>
        <v>0</v>
      </c>
      <c r="F12" s="247">
        <f>0%</f>
        <v>0</v>
      </c>
      <c r="G12" s="248">
        <f t="shared" si="1"/>
        <v>0</v>
      </c>
      <c r="H12" s="433"/>
      <c r="I12" s="434"/>
      <c r="K12" s="341" t="s">
        <v>27</v>
      </c>
      <c r="L12" s="342">
        <f t="shared" si="0"/>
        <v>0.27108433734939757</v>
      </c>
      <c r="M12" s="343">
        <f>'Project Plan - Target '!L39</f>
        <v>360</v>
      </c>
      <c r="Z12" s="299"/>
    </row>
    <row r="13" spans="2:26" x14ac:dyDescent="0.35">
      <c r="B13" s="29"/>
      <c r="C13" s="68"/>
      <c r="D13" s="253" t="s">
        <v>25</v>
      </c>
      <c r="E13" s="247">
        <f>SUMIF($G$31:$G$405,D13,$L$31:$L$405)</f>
        <v>0.15662650602409639</v>
      </c>
      <c r="F13" s="247">
        <f>L10+L14</f>
        <v>0.15662650602409639</v>
      </c>
      <c r="G13" s="248">
        <f t="shared" si="1"/>
        <v>0</v>
      </c>
      <c r="H13" s="433"/>
      <c r="I13" s="434"/>
      <c r="K13" s="341" t="s">
        <v>28</v>
      </c>
      <c r="L13" s="342">
        <f t="shared" si="0"/>
        <v>0</v>
      </c>
      <c r="M13" s="343">
        <f>'Project Plan - Target '!M39</f>
        <v>0</v>
      </c>
      <c r="Z13" s="299"/>
    </row>
    <row r="14" spans="2:26" x14ac:dyDescent="0.35">
      <c r="B14" s="29"/>
      <c r="C14" s="68"/>
      <c r="D14" s="253" t="s">
        <v>26</v>
      </c>
      <c r="E14" s="247">
        <f t="shared" si="2"/>
        <v>0.27108433734939757</v>
      </c>
      <c r="F14" s="247">
        <f>L11+L15</f>
        <v>0.27108433734939757</v>
      </c>
      <c r="G14" s="248">
        <f t="shared" si="1"/>
        <v>0</v>
      </c>
      <c r="H14" s="433"/>
      <c r="I14" s="434"/>
      <c r="K14" s="341" t="s">
        <v>29</v>
      </c>
      <c r="L14" s="342">
        <f t="shared" si="0"/>
        <v>0</v>
      </c>
      <c r="M14" s="343">
        <f>'Project Plan - Target '!N39</f>
        <v>0</v>
      </c>
      <c r="Z14" s="299"/>
    </row>
    <row r="15" spans="2:26" x14ac:dyDescent="0.35">
      <c r="B15" s="29"/>
      <c r="C15" s="68"/>
      <c r="D15" s="253" t="s">
        <v>27</v>
      </c>
      <c r="E15" s="247">
        <f t="shared" si="2"/>
        <v>0.54216867469879515</v>
      </c>
      <c r="F15" s="247">
        <f>L12+L16</f>
        <v>0.54216867469879515</v>
      </c>
      <c r="G15" s="248">
        <f t="shared" si="1"/>
        <v>0</v>
      </c>
      <c r="H15" s="433"/>
      <c r="I15" s="434"/>
      <c r="J15" s="254"/>
      <c r="K15" s="341" t="s">
        <v>30</v>
      </c>
      <c r="L15" s="342">
        <f t="shared" si="0"/>
        <v>0</v>
      </c>
      <c r="M15" s="343">
        <f>'Project Plan - Target '!O39</f>
        <v>0</v>
      </c>
      <c r="Z15" s="299"/>
    </row>
    <row r="16" spans="2:26" x14ac:dyDescent="0.35">
      <c r="B16" s="29"/>
      <c r="C16" s="68"/>
      <c r="D16" s="253" t="s">
        <v>28</v>
      </c>
      <c r="E16" s="247">
        <f t="shared" si="2"/>
        <v>0</v>
      </c>
      <c r="F16" s="247">
        <f>L13</f>
        <v>0</v>
      </c>
      <c r="G16" s="248">
        <f t="shared" si="1"/>
        <v>0</v>
      </c>
      <c r="H16" s="433"/>
      <c r="I16" s="434"/>
      <c r="J16" s="254"/>
      <c r="K16" s="341" t="s">
        <v>31</v>
      </c>
      <c r="L16" s="342">
        <f t="shared" si="0"/>
        <v>0.27108433734939757</v>
      </c>
      <c r="M16" s="343">
        <f>'Project Plan - Target '!P39</f>
        <v>360</v>
      </c>
      <c r="N16" s="185"/>
      <c r="X16" s="74"/>
      <c r="Y16" s="60"/>
      <c r="Z16" s="299"/>
    </row>
    <row r="17" spans="2:26" x14ac:dyDescent="0.35">
      <c r="B17" s="29"/>
      <c r="C17" s="111"/>
      <c r="D17" s="113"/>
      <c r="E17" s="113"/>
      <c r="F17" s="113"/>
      <c r="G17" s="113"/>
      <c r="H17" s="113"/>
      <c r="I17" s="113"/>
      <c r="J17" s="113"/>
      <c r="K17" s="113"/>
      <c r="L17" s="113"/>
      <c r="M17" s="113"/>
      <c r="N17" s="113"/>
      <c r="O17" s="113"/>
      <c r="P17" s="113"/>
      <c r="Q17" s="113"/>
      <c r="R17" s="113"/>
      <c r="S17" s="113"/>
      <c r="T17" s="113"/>
      <c r="U17" s="113"/>
      <c r="V17" s="113"/>
      <c r="W17" s="113"/>
      <c r="X17" s="115"/>
      <c r="Y17" s="118"/>
      <c r="Z17" s="301"/>
    </row>
    <row r="18" spans="2:26" x14ac:dyDescent="0.35">
      <c r="B18" s="25"/>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3"/>
    </row>
    <row r="19" spans="2:26" x14ac:dyDescent="0.35">
      <c r="B19" s="29"/>
      <c r="C19" s="437" t="s">
        <v>146</v>
      </c>
      <c r="D19" s="438"/>
      <c r="E19" s="438"/>
      <c r="F19" s="438"/>
      <c r="G19" s="438"/>
      <c r="H19" s="438"/>
      <c r="I19" s="438"/>
      <c r="J19" s="438"/>
      <c r="K19" s="438"/>
      <c r="L19" s="438"/>
      <c r="M19" s="438"/>
      <c r="N19" s="438"/>
      <c r="O19" s="438"/>
      <c r="P19" s="438"/>
      <c r="Q19" s="438"/>
      <c r="R19" s="438"/>
      <c r="S19" s="438"/>
      <c r="T19" s="438"/>
      <c r="U19" s="438"/>
      <c r="V19" s="438"/>
      <c r="W19" s="438"/>
      <c r="X19" s="438"/>
      <c r="Y19" s="439"/>
      <c r="Z19" s="26"/>
    </row>
    <row r="20" spans="2:26" x14ac:dyDescent="0.35">
      <c r="B20" s="29"/>
      <c r="C20" s="440"/>
      <c r="D20" s="441"/>
      <c r="E20" s="441"/>
      <c r="F20" s="441"/>
      <c r="G20" s="441"/>
      <c r="H20" s="441"/>
      <c r="I20" s="441"/>
      <c r="J20" s="441"/>
      <c r="K20" s="441"/>
      <c r="L20" s="441"/>
      <c r="M20" s="441"/>
      <c r="N20" s="441"/>
      <c r="O20" s="441"/>
      <c r="P20" s="441"/>
      <c r="Q20" s="441"/>
      <c r="R20" s="441"/>
      <c r="S20" s="441"/>
      <c r="T20" s="441"/>
      <c r="U20" s="441"/>
      <c r="V20" s="441"/>
      <c r="W20" s="441"/>
      <c r="X20" s="441"/>
      <c r="Y20" s="442"/>
      <c r="Z20" s="26"/>
    </row>
    <row r="21" spans="2:26" ht="26.15" customHeight="1" x14ac:dyDescent="0.35">
      <c r="B21" s="29"/>
      <c r="C21" s="443" t="s">
        <v>147</v>
      </c>
      <c r="D21" s="444"/>
      <c r="E21" s="444"/>
      <c r="F21" s="444"/>
      <c r="G21" s="444"/>
      <c r="H21" s="444"/>
      <c r="I21" s="444"/>
      <c r="J21" s="444"/>
      <c r="K21" s="444"/>
      <c r="L21" s="257"/>
      <c r="M21" s="257"/>
      <c r="N21" s="257"/>
      <c r="O21" s="257"/>
      <c r="P21" s="257"/>
      <c r="Q21" s="257"/>
      <c r="R21" s="257"/>
      <c r="S21" s="257"/>
      <c r="T21" s="257"/>
      <c r="U21" s="257"/>
      <c r="V21" s="257"/>
      <c r="W21" s="257"/>
      <c r="X21" s="257"/>
      <c r="Y21" s="258"/>
      <c r="Z21" s="26"/>
    </row>
    <row r="22" spans="2:26" ht="26.15" customHeight="1" x14ac:dyDescent="0.35">
      <c r="B22" s="29"/>
      <c r="C22" s="445"/>
      <c r="D22" s="446"/>
      <c r="E22" s="446"/>
      <c r="F22" s="446"/>
      <c r="G22" s="446"/>
      <c r="H22" s="446"/>
      <c r="I22" s="446"/>
      <c r="J22" s="446"/>
      <c r="K22" s="446"/>
      <c r="L22" s="255"/>
      <c r="M22" s="255"/>
      <c r="N22" s="255"/>
      <c r="O22" s="255"/>
      <c r="P22" s="255"/>
      <c r="Q22" s="255"/>
      <c r="R22" s="255"/>
      <c r="S22" s="255"/>
      <c r="T22" s="255"/>
      <c r="U22" s="255"/>
      <c r="V22" s="255"/>
      <c r="W22" s="255"/>
      <c r="X22" s="255"/>
      <c r="Y22" s="259"/>
      <c r="Z22" s="26"/>
    </row>
    <row r="23" spans="2:26" ht="31" customHeight="1" x14ac:dyDescent="0.35">
      <c r="B23" s="29"/>
      <c r="C23" s="260"/>
      <c r="D23" s="394" t="s">
        <v>148</v>
      </c>
      <c r="E23" s="395"/>
      <c r="F23" s="261"/>
      <c r="G23" s="347" t="s">
        <v>149</v>
      </c>
      <c r="H23" s="348"/>
      <c r="I23" s="349" t="s">
        <v>150</v>
      </c>
      <c r="J23" s="349" t="s">
        <v>151</v>
      </c>
      <c r="K23" s="262"/>
      <c r="L23" s="262"/>
      <c r="M23" s="262"/>
      <c r="N23" s="262"/>
      <c r="O23" s="262"/>
      <c r="P23" s="262"/>
      <c r="Q23" s="262"/>
      <c r="R23" s="262"/>
      <c r="S23" s="262"/>
      <c r="T23" s="262"/>
      <c r="U23" s="262"/>
      <c r="V23" s="262"/>
      <c r="W23" s="262"/>
      <c r="X23" s="262"/>
      <c r="Y23" s="259"/>
      <c r="Z23" s="26"/>
    </row>
    <row r="24" spans="2:26" ht="14.9" customHeight="1" x14ac:dyDescent="0.35">
      <c r="B24" s="29"/>
      <c r="C24" s="263"/>
      <c r="D24" s="264" t="s">
        <v>152</v>
      </c>
      <c r="E24" s="265">
        <v>0.55000000000000004</v>
      </c>
      <c r="F24" s="266"/>
      <c r="G24" s="447" t="s">
        <v>153</v>
      </c>
      <c r="H24" s="448"/>
      <c r="I24" s="267">
        <f>I25/(1-E24)</f>
        <v>276284.4444444445</v>
      </c>
      <c r="J24" s="267">
        <f>J25/(1-E24)</f>
        <v>276284.4444444445</v>
      </c>
      <c r="K24" s="449"/>
      <c r="L24" s="449"/>
      <c r="M24" s="449"/>
      <c r="N24" s="449"/>
      <c r="O24" s="449"/>
      <c r="P24" s="255"/>
      <c r="Q24" s="450"/>
      <c r="R24" s="450"/>
      <c r="S24" s="268"/>
      <c r="T24" s="268"/>
      <c r="U24" s="269"/>
      <c r="V24" s="449"/>
      <c r="W24" s="449"/>
      <c r="X24" s="449"/>
      <c r="Y24" s="270"/>
      <c r="Z24" s="26"/>
    </row>
    <row r="25" spans="2:26" ht="14.9" customHeight="1" x14ac:dyDescent="0.35">
      <c r="B25" s="29"/>
      <c r="C25" s="263"/>
      <c r="D25" s="264" t="s">
        <v>154</v>
      </c>
      <c r="E25" s="265">
        <v>0.1</v>
      </c>
      <c r="F25" s="266"/>
      <c r="G25" s="451" t="s">
        <v>155</v>
      </c>
      <c r="H25" s="452"/>
      <c r="I25" s="271">
        <f>SUM(K31:K38)</f>
        <v>124328</v>
      </c>
      <c r="J25" s="271">
        <f>'Project Plan - Target '!F39</f>
        <v>124328</v>
      </c>
      <c r="K25" s="449"/>
      <c r="L25" s="449"/>
      <c r="M25" s="449"/>
      <c r="N25" s="449"/>
      <c r="O25" s="449"/>
      <c r="P25" s="255"/>
      <c r="Q25" s="453"/>
      <c r="R25" s="453"/>
      <c r="S25" s="272"/>
      <c r="T25" s="273"/>
      <c r="U25" s="273"/>
      <c r="V25" s="454"/>
      <c r="W25" s="454"/>
      <c r="X25" s="454"/>
      <c r="Y25" s="270"/>
      <c r="Z25" s="26"/>
    </row>
    <row r="26" spans="2:26" ht="14.9" customHeight="1" x14ac:dyDescent="0.35">
      <c r="B26" s="29"/>
      <c r="C26" s="263"/>
      <c r="D26" s="274"/>
      <c r="E26" s="275"/>
      <c r="F26" s="276"/>
      <c r="G26" s="451" t="s">
        <v>156</v>
      </c>
      <c r="H26" s="452"/>
      <c r="I26" s="267">
        <f>I24-I25</f>
        <v>151956.4444444445</v>
      </c>
      <c r="J26" s="267">
        <f>J24-J25</f>
        <v>151956.4444444445</v>
      </c>
      <c r="K26" s="272"/>
      <c r="L26" s="454"/>
      <c r="M26" s="454"/>
      <c r="N26" s="454"/>
      <c r="O26" s="454"/>
      <c r="P26" s="255"/>
      <c r="Q26" s="453"/>
      <c r="R26" s="453"/>
      <c r="S26" s="272"/>
      <c r="T26" s="273"/>
      <c r="U26" s="273"/>
      <c r="V26" s="454"/>
      <c r="W26" s="454"/>
      <c r="X26" s="454"/>
      <c r="Y26" s="270"/>
      <c r="Z26" s="26"/>
    </row>
    <row r="27" spans="2:26" ht="14.9" customHeight="1" x14ac:dyDescent="0.35">
      <c r="B27" s="29"/>
      <c r="C27" s="263"/>
      <c r="D27" s="390"/>
      <c r="E27" s="390"/>
      <c r="F27" s="455"/>
      <c r="G27" s="451" t="s">
        <v>157</v>
      </c>
      <c r="H27" s="452"/>
      <c r="I27" s="271">
        <f>I24*E25</f>
        <v>27628.444444444453</v>
      </c>
      <c r="J27" s="271">
        <f>I24*E25</f>
        <v>27628.444444444453</v>
      </c>
      <c r="K27" s="273"/>
      <c r="L27" s="454"/>
      <c r="M27" s="454"/>
      <c r="N27" s="454"/>
      <c r="O27" s="454"/>
      <c r="P27" s="255"/>
      <c r="Q27" s="453"/>
      <c r="R27" s="453"/>
      <c r="S27" s="272"/>
      <c r="T27" s="273"/>
      <c r="U27" s="273"/>
      <c r="V27" s="454"/>
      <c r="W27" s="454"/>
      <c r="X27" s="454"/>
      <c r="Y27" s="270"/>
      <c r="Z27" s="26"/>
    </row>
    <row r="28" spans="2:26" ht="14.9" customHeight="1" x14ac:dyDescent="0.35">
      <c r="B28" s="29"/>
      <c r="C28" s="263"/>
      <c r="D28" s="268"/>
      <c r="E28" s="272"/>
      <c r="F28" s="455"/>
      <c r="G28" s="456" t="s">
        <v>158</v>
      </c>
      <c r="H28" s="457"/>
      <c r="I28" s="277">
        <f>I24+I27</f>
        <v>303912.88888888893</v>
      </c>
      <c r="J28" s="277">
        <f>J24+J27</f>
        <v>303912.88888888893</v>
      </c>
      <c r="K28" s="278"/>
      <c r="L28" s="255"/>
      <c r="M28" s="255"/>
      <c r="N28" s="255"/>
      <c r="O28" s="255"/>
      <c r="P28" s="255"/>
      <c r="Q28" s="453"/>
      <c r="R28" s="453"/>
      <c r="S28" s="272"/>
      <c r="T28" s="273"/>
      <c r="U28" s="273"/>
      <c r="V28" s="454"/>
      <c r="W28" s="454"/>
      <c r="X28" s="454"/>
      <c r="Y28" s="270"/>
      <c r="Z28" s="26"/>
    </row>
    <row r="29" spans="2:26" x14ac:dyDescent="0.35">
      <c r="B29" s="29"/>
      <c r="C29" s="263"/>
      <c r="D29" s="268"/>
      <c r="E29" s="272"/>
      <c r="F29" s="272"/>
      <c r="G29" s="255"/>
      <c r="H29" s="255"/>
      <c r="I29" s="255"/>
      <c r="J29" s="255"/>
      <c r="K29" s="255"/>
      <c r="L29" s="255"/>
      <c r="M29" s="255"/>
      <c r="N29" s="255"/>
      <c r="O29" s="255"/>
      <c r="P29" s="255"/>
      <c r="Q29" s="279"/>
      <c r="R29" s="255"/>
      <c r="S29" s="255"/>
      <c r="T29" s="255"/>
      <c r="U29" s="255"/>
      <c r="V29" s="255"/>
      <c r="W29" s="255"/>
      <c r="X29" s="255"/>
      <c r="Y29" s="270"/>
      <c r="Z29" s="26"/>
    </row>
    <row r="30" spans="2:26" s="285" customFormat="1" x14ac:dyDescent="0.35">
      <c r="B30" s="280"/>
      <c r="C30" s="281"/>
      <c r="D30" s="264" t="s">
        <v>93</v>
      </c>
      <c r="E30" s="264" t="s">
        <v>159</v>
      </c>
      <c r="F30" s="264" t="s">
        <v>94</v>
      </c>
      <c r="G30" s="264" t="s">
        <v>160</v>
      </c>
      <c r="H30" s="264" t="s">
        <v>161</v>
      </c>
      <c r="I30" s="264" t="s">
        <v>162</v>
      </c>
      <c r="J30" s="264" t="s">
        <v>163</v>
      </c>
      <c r="K30" s="264" t="s">
        <v>155</v>
      </c>
      <c r="L30" s="264" t="s">
        <v>164</v>
      </c>
      <c r="M30" s="264" t="s">
        <v>143</v>
      </c>
      <c r="N30" s="282" t="s">
        <v>165</v>
      </c>
      <c r="O30" s="282" t="s">
        <v>166</v>
      </c>
      <c r="P30" s="282" t="s">
        <v>167</v>
      </c>
      <c r="Q30" s="282" t="s">
        <v>168</v>
      </c>
      <c r="R30" s="282" t="s">
        <v>169</v>
      </c>
      <c r="S30" s="282" t="s">
        <v>170</v>
      </c>
      <c r="T30" s="282" t="s">
        <v>171</v>
      </c>
      <c r="U30" s="282" t="s">
        <v>172</v>
      </c>
      <c r="V30" s="282" t="s">
        <v>173</v>
      </c>
      <c r="W30" s="282" t="s">
        <v>174</v>
      </c>
      <c r="X30" s="282" t="s">
        <v>175</v>
      </c>
      <c r="Y30" s="283"/>
      <c r="Z30" s="284"/>
    </row>
    <row r="31" spans="2:26" x14ac:dyDescent="0.35">
      <c r="B31" s="29"/>
      <c r="C31" s="68"/>
      <c r="D31" s="286" t="s">
        <v>100</v>
      </c>
      <c r="E31" s="286" t="s">
        <v>102</v>
      </c>
      <c r="F31" s="221" t="str">
        <f t="shared" ref="F31:F38" si="3">IF(D31=0,"",VLOOKUP(D31,Resources,2,FALSE))</f>
        <v>Partner 1</v>
      </c>
      <c r="G31" s="221" t="str">
        <f t="shared" ref="G31:G38" si="4">IF(D31=0,"",VLOOKUP(D31,Resources,3,FALSE))</f>
        <v>Partner</v>
      </c>
      <c r="H31" s="221" t="str">
        <f t="shared" ref="H31:H38" si="5">IF(D31=0,"",VLOOKUP(D31,Resources,4,FALSE))</f>
        <v>United States</v>
      </c>
      <c r="I31" s="221" t="str">
        <f t="shared" ref="I31:I38" si="6">IF(D31=0,"",VLOOKUP(D31,Resources,5,FALSE))</f>
        <v>Supply Chain</v>
      </c>
      <c r="J31" s="287">
        <f t="shared" ref="J31:J38" si="7">IF(D31=0,"",VLOOKUP(D31,Resources,6,FALSE))</f>
        <v>617</v>
      </c>
      <c r="K31" s="287">
        <f t="shared" ref="K31:K38" si="8">IF(AND(M31&lt;&gt;"",J31&lt;&gt;""),M31*J31,"")</f>
        <v>24680</v>
      </c>
      <c r="L31" s="288">
        <f t="shared" ref="L31:L36" si="9">M31/(SUM($M$31:$M$38))</f>
        <v>3.0120481927710843E-2</v>
      </c>
      <c r="M31" s="289">
        <f t="shared" ref="M31:M36" si="10">SUM(N31:W31)</f>
        <v>40</v>
      </c>
      <c r="N31" s="249">
        <v>0</v>
      </c>
      <c r="O31" s="249">
        <v>0</v>
      </c>
      <c r="P31" s="250">
        <v>5</v>
      </c>
      <c r="Q31" s="250">
        <v>5</v>
      </c>
      <c r="R31" s="250">
        <v>5</v>
      </c>
      <c r="S31" s="250">
        <v>5</v>
      </c>
      <c r="T31" s="250">
        <v>5</v>
      </c>
      <c r="U31" s="250">
        <v>5</v>
      </c>
      <c r="V31" s="250">
        <v>5</v>
      </c>
      <c r="W31" s="250">
        <v>5</v>
      </c>
      <c r="X31" s="250"/>
      <c r="Y31" s="60"/>
      <c r="Z31" s="26"/>
    </row>
    <row r="32" spans="2:26" x14ac:dyDescent="0.35">
      <c r="B32" s="29"/>
      <c r="C32" s="68"/>
      <c r="D32" s="286" t="s">
        <v>103</v>
      </c>
      <c r="E32" s="286" t="s">
        <v>102</v>
      </c>
      <c r="F32" s="221" t="str">
        <f t="shared" si="3"/>
        <v>Senior Manager 1</v>
      </c>
      <c r="G32" s="221" t="str">
        <f t="shared" si="4"/>
        <v>Senior Manager</v>
      </c>
      <c r="H32" s="221" t="str">
        <f t="shared" si="5"/>
        <v>United States</v>
      </c>
      <c r="I32" s="221" t="str">
        <f t="shared" si="6"/>
        <v>Supply Chain</v>
      </c>
      <c r="J32" s="287">
        <f t="shared" si="7"/>
        <v>171</v>
      </c>
      <c r="K32" s="287">
        <f t="shared" si="8"/>
        <v>2736</v>
      </c>
      <c r="L32" s="288">
        <f t="shared" si="9"/>
        <v>1.2048192771084338E-2</v>
      </c>
      <c r="M32" s="289">
        <f t="shared" si="10"/>
        <v>16</v>
      </c>
      <c r="N32" s="249">
        <v>0</v>
      </c>
      <c r="O32" s="249">
        <v>0</v>
      </c>
      <c r="P32" s="250">
        <v>2</v>
      </c>
      <c r="Q32" s="250">
        <v>2</v>
      </c>
      <c r="R32" s="250">
        <v>2</v>
      </c>
      <c r="S32" s="250">
        <v>2</v>
      </c>
      <c r="T32" s="250">
        <v>2</v>
      </c>
      <c r="U32" s="250">
        <v>2</v>
      </c>
      <c r="V32" s="250">
        <v>2</v>
      </c>
      <c r="W32" s="250">
        <v>2</v>
      </c>
      <c r="X32" s="250"/>
      <c r="Y32" s="60"/>
      <c r="Z32" s="26"/>
    </row>
    <row r="33" spans="2:26" x14ac:dyDescent="0.35">
      <c r="B33" s="29"/>
      <c r="C33" s="68"/>
      <c r="D33" s="286" t="s">
        <v>105</v>
      </c>
      <c r="E33" s="286" t="s">
        <v>102</v>
      </c>
      <c r="F33" s="221" t="str">
        <f t="shared" si="3"/>
        <v>Senior Manager 2</v>
      </c>
      <c r="G33" s="221" t="str">
        <f t="shared" si="4"/>
        <v>Senior Manager</v>
      </c>
      <c r="H33" s="221" t="str">
        <f t="shared" si="5"/>
        <v>United States</v>
      </c>
      <c r="I33" s="221" t="str">
        <f t="shared" si="6"/>
        <v>Supply Chain</v>
      </c>
      <c r="J33" s="287">
        <f t="shared" si="7"/>
        <v>171</v>
      </c>
      <c r="K33" s="287">
        <f t="shared" si="8"/>
        <v>32832</v>
      </c>
      <c r="L33" s="288">
        <f t="shared" si="9"/>
        <v>0.14457831325301204</v>
      </c>
      <c r="M33" s="289">
        <f t="shared" si="10"/>
        <v>192</v>
      </c>
      <c r="N33" s="249">
        <v>0</v>
      </c>
      <c r="O33" s="249">
        <v>0</v>
      </c>
      <c r="P33" s="250">
        <v>24</v>
      </c>
      <c r="Q33" s="250">
        <v>24</v>
      </c>
      <c r="R33" s="250">
        <v>24</v>
      </c>
      <c r="S33" s="250">
        <v>24</v>
      </c>
      <c r="T33" s="250">
        <v>24</v>
      </c>
      <c r="U33" s="250">
        <v>24</v>
      </c>
      <c r="V33" s="250">
        <v>24</v>
      </c>
      <c r="W33" s="250">
        <v>24</v>
      </c>
      <c r="X33" s="250"/>
      <c r="Y33" s="60"/>
      <c r="Z33" s="26"/>
    </row>
    <row r="34" spans="2:26" x14ac:dyDescent="0.35">
      <c r="B34" s="29"/>
      <c r="C34" s="68"/>
      <c r="D34" s="286" t="s">
        <v>107</v>
      </c>
      <c r="E34" s="286" t="s">
        <v>102</v>
      </c>
      <c r="F34" s="221" t="str">
        <f t="shared" si="3"/>
        <v>Manager 1</v>
      </c>
      <c r="G34" s="221" t="str">
        <f t="shared" si="4"/>
        <v>Manager</v>
      </c>
      <c r="H34" s="221" t="str">
        <f t="shared" si="5"/>
        <v>United States</v>
      </c>
      <c r="I34" s="221" t="str">
        <f t="shared" si="6"/>
        <v>Supply Chain</v>
      </c>
      <c r="J34" s="287">
        <f t="shared" si="7"/>
        <v>98</v>
      </c>
      <c r="K34" s="287">
        <f t="shared" si="8"/>
        <v>35280</v>
      </c>
      <c r="L34" s="288">
        <f t="shared" si="9"/>
        <v>0.27108433734939757</v>
      </c>
      <c r="M34" s="289">
        <f t="shared" si="10"/>
        <v>360</v>
      </c>
      <c r="N34" s="249">
        <v>0</v>
      </c>
      <c r="O34" s="249">
        <v>0</v>
      </c>
      <c r="P34" s="250">
        <v>45</v>
      </c>
      <c r="Q34" s="250">
        <v>45</v>
      </c>
      <c r="R34" s="250">
        <v>45</v>
      </c>
      <c r="S34" s="250">
        <v>45</v>
      </c>
      <c r="T34" s="250">
        <v>45</v>
      </c>
      <c r="U34" s="250">
        <v>45</v>
      </c>
      <c r="V34" s="250">
        <v>45</v>
      </c>
      <c r="W34" s="250">
        <v>45</v>
      </c>
      <c r="X34" s="250"/>
      <c r="Y34" s="60"/>
      <c r="Z34" s="26"/>
    </row>
    <row r="35" spans="2:26" x14ac:dyDescent="0.35">
      <c r="B35" s="29"/>
      <c r="C35" s="68"/>
      <c r="D35" s="286" t="s">
        <v>110</v>
      </c>
      <c r="E35" s="286" t="s">
        <v>102</v>
      </c>
      <c r="F35" s="221" t="str">
        <f t="shared" si="3"/>
        <v>Senior 1</v>
      </c>
      <c r="G35" s="221" t="str">
        <f t="shared" si="4"/>
        <v>Senior</v>
      </c>
      <c r="H35" s="221" t="str">
        <f t="shared" si="5"/>
        <v>United States</v>
      </c>
      <c r="I35" s="221" t="str">
        <f t="shared" si="6"/>
        <v>Supply Chain</v>
      </c>
      <c r="J35" s="287">
        <f t="shared" si="7"/>
        <v>59</v>
      </c>
      <c r="K35" s="287">
        <f t="shared" si="8"/>
        <v>21240</v>
      </c>
      <c r="L35" s="288">
        <f t="shared" si="9"/>
        <v>0.27108433734939757</v>
      </c>
      <c r="M35" s="289">
        <f t="shared" si="10"/>
        <v>360</v>
      </c>
      <c r="N35" s="249">
        <v>0</v>
      </c>
      <c r="O35" s="249">
        <v>0</v>
      </c>
      <c r="P35" s="250">
        <v>45</v>
      </c>
      <c r="Q35" s="250">
        <v>45</v>
      </c>
      <c r="R35" s="250">
        <v>45</v>
      </c>
      <c r="S35" s="250">
        <v>45</v>
      </c>
      <c r="T35" s="250">
        <v>45</v>
      </c>
      <c r="U35" s="250">
        <v>45</v>
      </c>
      <c r="V35" s="250">
        <v>45</v>
      </c>
      <c r="W35" s="250">
        <v>45</v>
      </c>
      <c r="X35" s="250"/>
      <c r="Y35" s="60"/>
      <c r="Z35" s="26"/>
    </row>
    <row r="36" spans="2:26" x14ac:dyDescent="0.35">
      <c r="B36" s="29"/>
      <c r="C36" s="68"/>
      <c r="D36" s="286" t="s">
        <v>119</v>
      </c>
      <c r="E36" s="286" t="s">
        <v>102</v>
      </c>
      <c r="F36" s="221" t="str">
        <f t="shared" si="3"/>
        <v>GDS Senior</v>
      </c>
      <c r="G36" s="221" t="str">
        <f t="shared" si="4"/>
        <v>Senior</v>
      </c>
      <c r="H36" s="221" t="str">
        <f t="shared" si="5"/>
        <v>India</v>
      </c>
      <c r="I36" s="221" t="str">
        <f t="shared" si="6"/>
        <v>GDS</v>
      </c>
      <c r="J36" s="287">
        <f t="shared" si="7"/>
        <v>21</v>
      </c>
      <c r="K36" s="287">
        <f t="shared" si="8"/>
        <v>7560</v>
      </c>
      <c r="L36" s="288">
        <f t="shared" si="9"/>
        <v>0.27108433734939757</v>
      </c>
      <c r="M36" s="289">
        <f t="shared" si="10"/>
        <v>360</v>
      </c>
      <c r="N36" s="249">
        <v>0</v>
      </c>
      <c r="O36" s="249">
        <v>0</v>
      </c>
      <c r="P36" s="250">
        <v>45</v>
      </c>
      <c r="Q36" s="250">
        <v>45</v>
      </c>
      <c r="R36" s="250">
        <v>45</v>
      </c>
      <c r="S36" s="250">
        <v>45</v>
      </c>
      <c r="T36" s="250">
        <v>45</v>
      </c>
      <c r="U36" s="250">
        <v>45</v>
      </c>
      <c r="V36" s="250">
        <v>45</v>
      </c>
      <c r="W36" s="250">
        <v>45</v>
      </c>
      <c r="X36" s="250"/>
      <c r="Y36" s="60"/>
      <c r="Z36" s="26"/>
    </row>
    <row r="37" spans="2:26" x14ac:dyDescent="0.35">
      <c r="B37" s="29"/>
      <c r="C37" s="68"/>
      <c r="D37" s="286"/>
      <c r="E37" s="286"/>
      <c r="F37" s="221" t="str">
        <f t="shared" si="3"/>
        <v/>
      </c>
      <c r="G37" s="221" t="str">
        <f t="shared" si="4"/>
        <v/>
      </c>
      <c r="H37" s="221" t="str">
        <f t="shared" si="5"/>
        <v/>
      </c>
      <c r="I37" s="221" t="str">
        <f t="shared" si="6"/>
        <v/>
      </c>
      <c r="J37" s="287" t="str">
        <f t="shared" si="7"/>
        <v/>
      </c>
      <c r="K37" s="287" t="str">
        <f t="shared" si="8"/>
        <v/>
      </c>
      <c r="L37" s="288"/>
      <c r="M37" s="289"/>
      <c r="N37" s="249"/>
      <c r="O37" s="249"/>
      <c r="P37" s="249"/>
      <c r="Q37" s="249"/>
      <c r="R37" s="249"/>
      <c r="S37" s="249"/>
      <c r="T37" s="249"/>
      <c r="U37" s="249"/>
      <c r="V37" s="249"/>
      <c r="W37" s="249"/>
      <c r="X37" s="249"/>
      <c r="Y37" s="60"/>
      <c r="Z37" s="26"/>
    </row>
    <row r="38" spans="2:26" x14ac:dyDescent="0.35">
      <c r="B38" s="29"/>
      <c r="C38" s="68"/>
      <c r="D38" s="286"/>
      <c r="E38" s="286"/>
      <c r="F38" s="221" t="str">
        <f t="shared" si="3"/>
        <v/>
      </c>
      <c r="G38" s="221" t="str">
        <f t="shared" si="4"/>
        <v/>
      </c>
      <c r="H38" s="221" t="str">
        <f t="shared" si="5"/>
        <v/>
      </c>
      <c r="I38" s="221" t="str">
        <f t="shared" si="6"/>
        <v/>
      </c>
      <c r="J38" s="287" t="str">
        <f t="shared" si="7"/>
        <v/>
      </c>
      <c r="K38" s="287" t="str">
        <f t="shared" si="8"/>
        <v/>
      </c>
      <c r="L38" s="288"/>
      <c r="M38" s="289" t="str">
        <f>IF(SUM(N38:X38)=0,"",SUM(N38:X38))</f>
        <v/>
      </c>
      <c r="N38" s="249"/>
      <c r="O38" s="249"/>
      <c r="P38" s="249"/>
      <c r="Q38" s="249"/>
      <c r="R38" s="249"/>
      <c r="S38" s="249"/>
      <c r="T38" s="249"/>
      <c r="U38" s="249"/>
      <c r="V38" s="249"/>
      <c r="W38" s="249"/>
      <c r="X38" s="249"/>
      <c r="Y38" s="60"/>
      <c r="Z38" s="26"/>
    </row>
    <row r="39" spans="2:26" x14ac:dyDescent="0.35">
      <c r="B39" s="29"/>
      <c r="C39" s="111"/>
      <c r="D39" s="113"/>
      <c r="E39" s="113"/>
      <c r="F39" s="113"/>
      <c r="G39" s="113"/>
      <c r="H39" s="113"/>
      <c r="I39" s="113"/>
      <c r="J39" s="113"/>
      <c r="K39" s="113"/>
      <c r="L39" s="113"/>
      <c r="M39" s="113"/>
      <c r="N39" s="113"/>
      <c r="O39" s="113"/>
      <c r="P39" s="113"/>
      <c r="Q39" s="113"/>
      <c r="R39" s="113"/>
      <c r="S39" s="113"/>
      <c r="T39" s="113"/>
      <c r="U39" s="113"/>
      <c r="V39" s="113"/>
      <c r="W39" s="113"/>
      <c r="X39" s="114"/>
      <c r="Y39" s="118"/>
      <c r="Z39" s="26"/>
    </row>
    <row r="40" spans="2:26" x14ac:dyDescent="0.35">
      <c r="B40" s="25"/>
      <c r="C40" s="152"/>
      <c r="D40" s="152"/>
      <c r="E40" s="152"/>
      <c r="F40" s="152"/>
      <c r="G40" s="152"/>
      <c r="H40" s="152"/>
      <c r="I40" s="152"/>
      <c r="J40" s="152"/>
      <c r="K40" s="152"/>
      <c r="L40" s="152"/>
      <c r="M40" s="152"/>
      <c r="N40" s="152"/>
      <c r="O40" s="152"/>
      <c r="P40" s="152"/>
      <c r="Q40" s="152"/>
      <c r="R40" s="152"/>
      <c r="S40" s="152"/>
      <c r="T40" s="152"/>
      <c r="U40" s="152"/>
      <c r="V40" s="152"/>
      <c r="W40" s="152"/>
      <c r="X40" s="152"/>
      <c r="Y40" s="152"/>
      <c r="Z40" s="26"/>
    </row>
    <row r="41" spans="2:26" x14ac:dyDescent="0.35">
      <c r="B41" s="25"/>
      <c r="C41" s="290"/>
      <c r="D41" s="290"/>
      <c r="E41" s="290"/>
      <c r="F41" s="290"/>
      <c r="G41" s="290"/>
      <c r="H41" s="290"/>
      <c r="I41" s="290"/>
      <c r="J41" s="290"/>
      <c r="K41" s="290"/>
      <c r="L41" s="290"/>
      <c r="M41" s="290"/>
      <c r="N41" s="290"/>
      <c r="O41" s="290"/>
      <c r="P41" s="290"/>
      <c r="Q41" s="290"/>
      <c r="R41" s="290"/>
      <c r="S41" s="290"/>
      <c r="T41" s="290"/>
      <c r="U41" s="290"/>
      <c r="V41" s="290"/>
      <c r="W41" s="290"/>
      <c r="X41" s="290"/>
      <c r="Y41" s="290"/>
      <c r="Z41" s="26"/>
    </row>
    <row r="42" spans="2:26" x14ac:dyDescent="0.35">
      <c r="B42" s="25"/>
      <c r="C42" s="290"/>
      <c r="D42" s="290"/>
      <c r="E42" s="290"/>
      <c r="F42" s="290"/>
      <c r="G42" s="290"/>
      <c r="H42" s="290"/>
      <c r="I42" s="290"/>
      <c r="J42" s="290"/>
      <c r="K42" s="290"/>
      <c r="L42" s="290"/>
      <c r="M42" s="290"/>
      <c r="N42" s="290"/>
      <c r="O42" s="290"/>
      <c r="P42" s="290"/>
      <c r="Q42" s="290"/>
      <c r="R42" s="290"/>
      <c r="S42" s="290"/>
      <c r="T42" s="290"/>
      <c r="U42" s="290"/>
      <c r="V42" s="290"/>
      <c r="W42" s="290"/>
      <c r="X42" s="290"/>
      <c r="Y42" s="290"/>
      <c r="Z42" s="26"/>
    </row>
    <row r="43" spans="2:26" x14ac:dyDescent="0.35">
      <c r="B43" s="25"/>
      <c r="C43" s="290"/>
      <c r="D43" s="290"/>
      <c r="E43" s="290"/>
      <c r="F43" s="290"/>
      <c r="G43" s="290"/>
      <c r="H43" s="290"/>
      <c r="I43" s="290"/>
      <c r="J43" s="290"/>
      <c r="K43" s="290"/>
      <c r="L43" s="290"/>
      <c r="M43" s="290"/>
      <c r="N43" s="290"/>
      <c r="O43" s="290"/>
      <c r="P43" s="290"/>
      <c r="Q43" s="290"/>
      <c r="R43" s="290"/>
      <c r="S43" s="290"/>
      <c r="T43" s="290"/>
      <c r="U43" s="290"/>
      <c r="V43" s="290"/>
      <c r="W43" s="290"/>
      <c r="X43" s="290"/>
      <c r="Y43" s="290"/>
      <c r="Z43" s="26"/>
    </row>
    <row r="44" spans="2:26" x14ac:dyDescent="0.35">
      <c r="B44" s="25"/>
      <c r="C44" s="290"/>
      <c r="D44" s="290"/>
      <c r="E44" s="290"/>
      <c r="F44" s="290"/>
      <c r="G44" s="290"/>
      <c r="H44" s="290"/>
      <c r="I44" s="290"/>
      <c r="J44" s="290"/>
      <c r="K44" s="290"/>
      <c r="L44" s="290"/>
      <c r="M44" s="290"/>
      <c r="N44" s="290"/>
      <c r="O44" s="290"/>
      <c r="P44" s="290"/>
      <c r="Q44" s="290"/>
      <c r="R44" s="290"/>
      <c r="S44" s="290"/>
      <c r="T44" s="290"/>
      <c r="U44" s="290"/>
      <c r="V44" s="290"/>
      <c r="W44" s="290"/>
      <c r="X44" s="290"/>
      <c r="Y44" s="290"/>
      <c r="Z44" s="26"/>
    </row>
    <row r="45" spans="2:26" x14ac:dyDescent="0.35">
      <c r="B45" s="25"/>
      <c r="C45" s="290"/>
      <c r="D45" s="290"/>
      <c r="E45" s="290"/>
      <c r="F45" s="290"/>
      <c r="G45" s="290"/>
      <c r="H45" s="290"/>
      <c r="I45" s="290"/>
      <c r="J45" s="290"/>
      <c r="K45" s="290"/>
      <c r="L45" s="290"/>
      <c r="M45" s="290"/>
      <c r="N45" s="290"/>
      <c r="O45" s="290"/>
      <c r="P45" s="290"/>
      <c r="Q45" s="290"/>
      <c r="R45" s="290"/>
      <c r="S45" s="290"/>
      <c r="T45" s="290"/>
      <c r="U45" s="290"/>
      <c r="V45" s="290"/>
      <c r="W45" s="290"/>
      <c r="X45" s="290"/>
      <c r="Y45" s="290"/>
      <c r="Z45" s="26"/>
    </row>
    <row r="46" spans="2:26" x14ac:dyDescent="0.35">
      <c r="B46" s="25"/>
      <c r="C46" s="290"/>
      <c r="D46" s="290"/>
      <c r="E46" s="290"/>
      <c r="F46" s="290"/>
      <c r="G46" s="290"/>
      <c r="H46" s="290"/>
      <c r="I46" s="290"/>
      <c r="J46" s="290"/>
      <c r="K46" s="290"/>
      <c r="L46" s="290"/>
      <c r="M46" s="290"/>
      <c r="N46" s="290"/>
      <c r="O46" s="290"/>
      <c r="P46" s="290"/>
      <c r="Q46" s="290"/>
      <c r="R46" s="290"/>
      <c r="S46" s="290"/>
      <c r="T46" s="290"/>
      <c r="U46" s="290"/>
      <c r="V46" s="290"/>
      <c r="W46" s="290"/>
      <c r="X46" s="290"/>
      <c r="Y46" s="290"/>
      <c r="Z46" s="26"/>
    </row>
    <row r="47" spans="2:26" x14ac:dyDescent="0.35">
      <c r="B47" s="25"/>
      <c r="C47" s="290"/>
      <c r="D47" s="290"/>
      <c r="E47" s="290"/>
      <c r="F47" s="290"/>
      <c r="G47" s="290"/>
      <c r="H47" s="290"/>
      <c r="I47" s="290"/>
      <c r="J47" s="290"/>
      <c r="K47" s="290"/>
      <c r="L47" s="290"/>
      <c r="M47" s="290"/>
      <c r="N47" s="290"/>
      <c r="O47" s="290"/>
      <c r="P47" s="290"/>
      <c r="Q47" s="290"/>
      <c r="R47" s="290"/>
      <c r="S47" s="290"/>
      <c r="T47" s="290"/>
      <c r="U47" s="290"/>
      <c r="V47" s="290"/>
      <c r="W47" s="290"/>
      <c r="X47" s="290"/>
      <c r="Y47" s="290"/>
      <c r="Z47" s="26"/>
    </row>
    <row r="48" spans="2:26" x14ac:dyDescent="0.35">
      <c r="B48" s="25"/>
      <c r="C48" s="290"/>
      <c r="D48" s="290"/>
      <c r="E48" s="290"/>
      <c r="F48" s="290"/>
      <c r="G48" s="290"/>
      <c r="H48" s="290"/>
      <c r="I48" s="290"/>
      <c r="J48" s="290"/>
      <c r="K48" s="290"/>
      <c r="L48" s="290"/>
      <c r="M48" s="290"/>
      <c r="N48" s="290"/>
      <c r="O48" s="290"/>
      <c r="P48" s="290"/>
      <c r="Q48" s="290"/>
      <c r="R48" s="290"/>
      <c r="S48" s="290"/>
      <c r="T48" s="290"/>
      <c r="U48" s="290"/>
      <c r="V48" s="290"/>
      <c r="W48" s="290"/>
      <c r="X48" s="290"/>
      <c r="Y48" s="290"/>
      <c r="Z48" s="26"/>
    </row>
    <row r="49" spans="2:26" x14ac:dyDescent="0.35">
      <c r="B49" s="25"/>
      <c r="C49" s="290"/>
      <c r="D49" s="290"/>
      <c r="E49" s="290"/>
      <c r="F49" s="290"/>
      <c r="G49" s="290"/>
      <c r="H49" s="290"/>
      <c r="I49" s="290"/>
      <c r="J49" s="290"/>
      <c r="K49" s="290"/>
      <c r="L49" s="290"/>
      <c r="M49" s="290"/>
      <c r="N49" s="290"/>
      <c r="O49" s="290"/>
      <c r="P49" s="290"/>
      <c r="Q49" s="290"/>
      <c r="R49" s="290"/>
      <c r="S49" s="290"/>
      <c r="T49" s="290"/>
      <c r="U49" s="290"/>
      <c r="V49" s="290"/>
      <c r="W49" s="290"/>
      <c r="X49" s="290"/>
      <c r="Y49" s="290"/>
      <c r="Z49" s="26"/>
    </row>
    <row r="50" spans="2:26" x14ac:dyDescent="0.35">
      <c r="B50" s="25"/>
      <c r="C50" s="290"/>
      <c r="D50" s="290"/>
      <c r="E50" s="290"/>
      <c r="F50" s="290"/>
      <c r="G50" s="290"/>
      <c r="H50" s="290"/>
      <c r="I50" s="290"/>
      <c r="J50" s="290"/>
      <c r="K50" s="290"/>
      <c r="L50" s="290"/>
      <c r="M50" s="290"/>
      <c r="N50" s="290"/>
      <c r="O50" s="290"/>
      <c r="P50" s="290"/>
      <c r="Q50" s="290"/>
      <c r="R50" s="290"/>
      <c r="S50" s="290"/>
      <c r="T50" s="290"/>
      <c r="U50" s="290"/>
      <c r="V50" s="290"/>
      <c r="W50" s="290"/>
      <c r="X50" s="290"/>
      <c r="Y50" s="290"/>
      <c r="Z50" s="26"/>
    </row>
    <row r="51" spans="2:26" x14ac:dyDescent="0.35">
      <c r="B51" s="25"/>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6"/>
    </row>
    <row r="52" spans="2:26" x14ac:dyDescent="0.35">
      <c r="B52" s="25"/>
      <c r="C52" s="290"/>
      <c r="D52" s="290"/>
      <c r="E52" s="290"/>
      <c r="F52" s="290"/>
      <c r="G52" s="290"/>
      <c r="H52" s="290"/>
      <c r="I52" s="290"/>
      <c r="J52" s="290"/>
      <c r="K52" s="290"/>
      <c r="L52" s="290"/>
      <c r="M52" s="290"/>
      <c r="N52" s="290"/>
      <c r="O52" s="290"/>
      <c r="P52" s="290"/>
      <c r="Q52" s="290"/>
      <c r="R52" s="290"/>
      <c r="S52" s="290"/>
      <c r="T52" s="290"/>
      <c r="U52" s="290"/>
      <c r="V52" s="290"/>
      <c r="W52" s="290"/>
      <c r="X52" s="290"/>
      <c r="Y52" s="290"/>
      <c r="Z52" s="26"/>
    </row>
    <row r="53" spans="2:26" x14ac:dyDescent="0.35">
      <c r="B53" s="25"/>
      <c r="C53" s="290"/>
      <c r="D53" s="290"/>
      <c r="E53" s="290"/>
      <c r="F53" s="290"/>
      <c r="G53" s="290"/>
      <c r="H53" s="290"/>
      <c r="I53" s="290"/>
      <c r="J53" s="290"/>
      <c r="K53" s="290"/>
      <c r="L53" s="290"/>
      <c r="M53" s="290"/>
      <c r="N53" s="290"/>
      <c r="O53" s="290"/>
      <c r="P53" s="290"/>
      <c r="Q53" s="290"/>
      <c r="R53" s="290"/>
      <c r="S53" s="290"/>
      <c r="T53" s="290"/>
      <c r="U53" s="290"/>
      <c r="V53" s="290"/>
      <c r="W53" s="290"/>
      <c r="X53" s="290"/>
      <c r="Y53" s="290"/>
      <c r="Z53" s="26"/>
    </row>
    <row r="54" spans="2:26" x14ac:dyDescent="0.35">
      <c r="B54" s="25"/>
      <c r="C54" s="290"/>
      <c r="D54" s="290"/>
      <c r="E54" s="290"/>
      <c r="F54" s="290"/>
      <c r="G54" s="290"/>
      <c r="H54" s="290"/>
      <c r="I54" s="290"/>
      <c r="J54" s="290"/>
      <c r="K54" s="290"/>
      <c r="L54" s="290"/>
      <c r="M54" s="290"/>
      <c r="N54" s="290"/>
      <c r="O54" s="290"/>
      <c r="P54" s="290"/>
      <c r="Q54" s="290"/>
      <c r="R54" s="290"/>
      <c r="S54" s="290"/>
      <c r="T54" s="290"/>
      <c r="U54" s="290"/>
      <c r="V54" s="290"/>
      <c r="W54" s="290"/>
      <c r="X54" s="290"/>
      <c r="Y54" s="290"/>
      <c r="Z54" s="26"/>
    </row>
    <row r="55" spans="2:26" x14ac:dyDescent="0.35">
      <c r="B55" s="25"/>
      <c r="C55" s="290"/>
      <c r="D55" s="290"/>
      <c r="E55" s="290"/>
      <c r="F55" s="290"/>
      <c r="G55" s="290"/>
      <c r="H55" s="290"/>
      <c r="I55" s="290"/>
      <c r="J55" s="290"/>
      <c r="K55" s="290"/>
      <c r="L55" s="290"/>
      <c r="M55" s="290"/>
      <c r="N55" s="290"/>
      <c r="O55" s="290"/>
      <c r="P55" s="290"/>
      <c r="Q55" s="290"/>
      <c r="R55" s="290"/>
      <c r="S55" s="290"/>
      <c r="T55" s="290"/>
      <c r="U55" s="290"/>
      <c r="V55" s="290"/>
      <c r="W55" s="290"/>
      <c r="X55" s="290"/>
      <c r="Y55" s="290"/>
      <c r="Z55" s="26"/>
    </row>
    <row r="56" spans="2:26" x14ac:dyDescent="0.35">
      <c r="B56" s="25"/>
      <c r="C56" s="290"/>
      <c r="D56" s="290"/>
      <c r="E56" s="290"/>
      <c r="F56" s="290"/>
      <c r="G56" s="290"/>
      <c r="H56" s="290"/>
      <c r="I56" s="290"/>
      <c r="J56" s="290"/>
      <c r="K56" s="290"/>
      <c r="L56" s="290"/>
      <c r="M56" s="290"/>
      <c r="N56" s="290"/>
      <c r="O56" s="290"/>
      <c r="P56" s="290"/>
      <c r="Q56" s="290"/>
      <c r="R56" s="290"/>
      <c r="S56" s="290"/>
      <c r="T56" s="290"/>
      <c r="U56" s="290"/>
      <c r="V56" s="290"/>
      <c r="W56" s="290"/>
      <c r="X56" s="290"/>
      <c r="Y56" s="290"/>
      <c r="Z56" s="26"/>
    </row>
    <row r="57" spans="2:26" x14ac:dyDescent="0.35">
      <c r="B57" s="25"/>
      <c r="C57" s="290"/>
      <c r="D57" s="290"/>
      <c r="E57" s="290"/>
      <c r="F57" s="290"/>
      <c r="G57" s="290"/>
      <c r="H57" s="290"/>
      <c r="I57" s="290"/>
      <c r="J57" s="290"/>
      <c r="K57" s="290"/>
      <c r="L57" s="290"/>
      <c r="M57" s="290"/>
      <c r="N57" s="290"/>
      <c r="O57" s="290"/>
      <c r="P57" s="290"/>
      <c r="Q57" s="290"/>
      <c r="R57" s="290"/>
      <c r="S57" s="290"/>
      <c r="T57" s="290"/>
      <c r="U57" s="290"/>
      <c r="V57" s="290"/>
      <c r="W57" s="290"/>
      <c r="X57" s="290"/>
      <c r="Y57" s="290"/>
      <c r="Z57" s="26"/>
    </row>
    <row r="58" spans="2:26" x14ac:dyDescent="0.35">
      <c r="B58" s="25"/>
      <c r="C58" s="290"/>
      <c r="D58" s="290"/>
      <c r="E58" s="290"/>
      <c r="F58" s="290"/>
      <c r="G58" s="290"/>
      <c r="H58" s="290"/>
      <c r="I58" s="290"/>
      <c r="J58" s="290"/>
      <c r="K58" s="290"/>
      <c r="L58" s="290"/>
      <c r="M58" s="290"/>
      <c r="N58" s="290"/>
      <c r="O58" s="290"/>
      <c r="P58" s="290"/>
      <c r="Q58" s="290"/>
      <c r="R58" s="290"/>
      <c r="S58" s="290"/>
      <c r="T58" s="290"/>
      <c r="U58" s="290"/>
      <c r="V58" s="290"/>
      <c r="W58" s="290"/>
      <c r="X58" s="290"/>
      <c r="Y58" s="290"/>
      <c r="Z58" s="26"/>
    </row>
    <row r="59" spans="2:26" x14ac:dyDescent="0.35">
      <c r="B59" s="25"/>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6"/>
    </row>
    <row r="60" spans="2:26" x14ac:dyDescent="0.35">
      <c r="B60" s="25"/>
      <c r="C60" s="290"/>
      <c r="D60" s="290"/>
      <c r="E60" s="290"/>
      <c r="F60" s="290"/>
      <c r="G60" s="290"/>
      <c r="H60" s="290"/>
      <c r="I60" s="290"/>
      <c r="J60" s="290"/>
      <c r="K60" s="290"/>
      <c r="L60" s="290"/>
      <c r="M60" s="290"/>
      <c r="N60" s="290"/>
      <c r="O60" s="290"/>
      <c r="P60" s="290"/>
      <c r="Q60" s="290"/>
      <c r="R60" s="290"/>
      <c r="S60" s="290"/>
      <c r="T60" s="290"/>
      <c r="U60" s="290"/>
      <c r="V60" s="290"/>
      <c r="W60" s="290"/>
      <c r="X60" s="290"/>
      <c r="Y60" s="290"/>
      <c r="Z60" s="26"/>
    </row>
    <row r="61" spans="2:26" x14ac:dyDescent="0.35">
      <c r="B61" s="25"/>
      <c r="C61" s="290"/>
      <c r="D61" s="290"/>
      <c r="E61" s="290"/>
      <c r="F61" s="290"/>
      <c r="G61" s="290"/>
      <c r="H61" s="290"/>
      <c r="I61" s="290"/>
      <c r="J61" s="290"/>
      <c r="K61" s="290"/>
      <c r="L61" s="290"/>
      <c r="M61" s="290"/>
      <c r="N61" s="290"/>
      <c r="O61" s="290"/>
      <c r="P61" s="290"/>
      <c r="Q61" s="290"/>
      <c r="R61" s="290"/>
      <c r="S61" s="290"/>
      <c r="T61" s="290"/>
      <c r="U61" s="290"/>
      <c r="V61" s="290"/>
      <c r="W61" s="290"/>
      <c r="X61" s="290"/>
      <c r="Y61" s="290"/>
      <c r="Z61" s="26"/>
    </row>
    <row r="62" spans="2:26" x14ac:dyDescent="0.35">
      <c r="B62" s="25"/>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6"/>
    </row>
    <row r="63" spans="2:26" x14ac:dyDescent="0.35">
      <c r="B63" s="25"/>
      <c r="C63" s="290"/>
      <c r="D63" s="290"/>
      <c r="E63" s="290"/>
      <c r="F63" s="290"/>
      <c r="G63" s="290"/>
      <c r="H63" s="290"/>
      <c r="I63" s="290"/>
      <c r="J63" s="290"/>
      <c r="K63" s="290"/>
      <c r="L63" s="290"/>
      <c r="M63" s="290"/>
      <c r="N63" s="290"/>
      <c r="O63" s="290"/>
      <c r="P63" s="290"/>
      <c r="Q63" s="290"/>
      <c r="R63" s="290"/>
      <c r="S63" s="290"/>
      <c r="T63" s="290"/>
      <c r="U63" s="290"/>
      <c r="V63" s="290"/>
      <c r="W63" s="290"/>
      <c r="X63" s="290"/>
      <c r="Y63" s="290"/>
      <c r="Z63" s="26"/>
    </row>
    <row r="64" spans="2:26" x14ac:dyDescent="0.35">
      <c r="B64" s="25"/>
      <c r="C64" s="290"/>
      <c r="D64" s="290"/>
      <c r="E64" s="290"/>
      <c r="F64" s="290"/>
      <c r="G64" s="290"/>
      <c r="H64" s="290"/>
      <c r="I64" s="290"/>
      <c r="J64" s="290"/>
      <c r="K64" s="290"/>
      <c r="L64" s="290"/>
      <c r="M64" s="290"/>
      <c r="N64" s="290"/>
      <c r="O64" s="290"/>
      <c r="P64" s="290"/>
      <c r="Q64" s="290"/>
      <c r="R64" s="290"/>
      <c r="S64" s="290"/>
      <c r="T64" s="290"/>
      <c r="U64" s="290"/>
      <c r="V64" s="290"/>
      <c r="W64" s="290"/>
      <c r="X64" s="290"/>
      <c r="Y64" s="290"/>
      <c r="Z64" s="26"/>
    </row>
    <row r="65" spans="2:26" x14ac:dyDescent="0.35">
      <c r="B65" s="25"/>
      <c r="C65" s="290"/>
      <c r="D65" s="290"/>
      <c r="E65" s="290"/>
      <c r="F65" s="290"/>
      <c r="G65" s="290"/>
      <c r="H65" s="290"/>
      <c r="I65" s="290"/>
      <c r="J65" s="290"/>
      <c r="K65" s="290"/>
      <c r="L65" s="290"/>
      <c r="M65" s="290"/>
      <c r="N65" s="290"/>
      <c r="O65" s="290"/>
      <c r="P65" s="290"/>
      <c r="Q65" s="290"/>
      <c r="R65" s="290"/>
      <c r="S65" s="290"/>
      <c r="T65" s="290"/>
      <c r="U65" s="290"/>
      <c r="V65" s="290"/>
      <c r="W65" s="290"/>
      <c r="X65" s="290"/>
      <c r="Y65" s="290"/>
      <c r="Z65" s="26"/>
    </row>
    <row r="66" spans="2:26" x14ac:dyDescent="0.35">
      <c r="B66" s="25"/>
      <c r="C66" s="290"/>
      <c r="D66" s="290"/>
      <c r="E66" s="290"/>
      <c r="F66" s="290"/>
      <c r="G66" s="290"/>
      <c r="H66" s="290"/>
      <c r="I66" s="290"/>
      <c r="J66" s="290"/>
      <c r="K66" s="290"/>
      <c r="L66" s="290"/>
      <c r="M66" s="290"/>
      <c r="N66" s="290"/>
      <c r="O66" s="290"/>
      <c r="P66" s="290"/>
      <c r="Q66" s="290"/>
      <c r="R66" s="290"/>
      <c r="S66" s="290"/>
      <c r="T66" s="290"/>
      <c r="U66" s="290"/>
      <c r="V66" s="290"/>
      <c r="W66" s="290"/>
      <c r="X66" s="290"/>
      <c r="Y66" s="290"/>
      <c r="Z66" s="26"/>
    </row>
    <row r="67" spans="2:26" x14ac:dyDescent="0.35">
      <c r="B67" s="25"/>
      <c r="C67" s="290"/>
      <c r="D67" s="290"/>
      <c r="E67" s="290"/>
      <c r="F67" s="290"/>
      <c r="G67" s="290"/>
      <c r="H67" s="290"/>
      <c r="I67" s="290"/>
      <c r="J67" s="290"/>
      <c r="K67" s="290"/>
      <c r="L67" s="290"/>
      <c r="M67" s="290"/>
      <c r="N67" s="290"/>
      <c r="O67" s="290"/>
      <c r="P67" s="290"/>
      <c r="Q67" s="290"/>
      <c r="R67" s="290"/>
      <c r="S67" s="290"/>
      <c r="T67" s="290"/>
      <c r="U67" s="290"/>
      <c r="V67" s="290"/>
      <c r="W67" s="290"/>
      <c r="X67" s="290"/>
      <c r="Y67" s="290"/>
      <c r="Z67" s="26"/>
    </row>
    <row r="68" spans="2:26" x14ac:dyDescent="0.35">
      <c r="B68" s="25"/>
      <c r="C68" s="290"/>
      <c r="D68" s="290"/>
      <c r="E68" s="290"/>
      <c r="F68" s="290"/>
      <c r="G68" s="290"/>
      <c r="H68" s="290"/>
      <c r="I68" s="290"/>
      <c r="J68" s="290"/>
      <c r="K68" s="290"/>
      <c r="L68" s="290"/>
      <c r="M68" s="290"/>
      <c r="N68" s="290"/>
      <c r="O68" s="290"/>
      <c r="P68" s="290"/>
      <c r="Q68" s="290"/>
      <c r="R68" s="290"/>
      <c r="S68" s="290"/>
      <c r="T68" s="290"/>
      <c r="U68" s="290"/>
      <c r="V68" s="290"/>
      <c r="W68" s="290"/>
      <c r="X68" s="290"/>
      <c r="Y68" s="290"/>
      <c r="Z68" s="26"/>
    </row>
    <row r="69" spans="2:26" x14ac:dyDescent="0.35">
      <c r="B69" s="25"/>
      <c r="C69" s="290"/>
      <c r="D69" s="290"/>
      <c r="E69" s="290"/>
      <c r="F69" s="290"/>
      <c r="G69" s="290"/>
      <c r="H69" s="290"/>
      <c r="I69" s="290"/>
      <c r="J69" s="290"/>
      <c r="K69" s="290"/>
      <c r="L69" s="290"/>
      <c r="M69" s="290"/>
      <c r="N69" s="290"/>
      <c r="O69" s="290"/>
      <c r="P69" s="290"/>
      <c r="Q69" s="290"/>
      <c r="R69" s="290"/>
      <c r="S69" s="290"/>
      <c r="T69" s="290"/>
      <c r="U69" s="290"/>
      <c r="V69" s="290"/>
      <c r="W69" s="290"/>
      <c r="X69" s="290"/>
      <c r="Y69" s="290"/>
      <c r="Z69" s="26"/>
    </row>
    <row r="70" spans="2:26" ht="15" thickBot="1" x14ac:dyDescent="0.4">
      <c r="B70" s="122"/>
      <c r="C70" s="124"/>
      <c r="D70" s="124"/>
      <c r="E70" s="124"/>
      <c r="F70" s="124"/>
      <c r="G70" s="124"/>
      <c r="H70" s="124"/>
      <c r="I70" s="124"/>
      <c r="J70" s="124"/>
      <c r="K70" s="124"/>
      <c r="L70" s="124"/>
      <c r="M70" s="124"/>
      <c r="N70" s="124"/>
      <c r="O70" s="124"/>
      <c r="P70" s="124"/>
      <c r="Q70" s="124"/>
      <c r="R70" s="124"/>
      <c r="S70" s="124"/>
      <c r="T70" s="124"/>
      <c r="U70" s="124"/>
      <c r="V70" s="124"/>
      <c r="W70" s="124"/>
      <c r="X70" s="124"/>
      <c r="Y70" s="124"/>
      <c r="Z70" s="126"/>
    </row>
  </sheetData>
  <mergeCells count="38">
    <mergeCell ref="V28:X28"/>
    <mergeCell ref="G26:H26"/>
    <mergeCell ref="L26:O26"/>
    <mergeCell ref="Q26:R26"/>
    <mergeCell ref="V26:X26"/>
    <mergeCell ref="V27:X27"/>
    <mergeCell ref="D27:E27"/>
    <mergeCell ref="F27:F28"/>
    <mergeCell ref="G27:H27"/>
    <mergeCell ref="L27:O27"/>
    <mergeCell ref="Q27:R27"/>
    <mergeCell ref="G28:H28"/>
    <mergeCell ref="Q28:R28"/>
    <mergeCell ref="G24:H24"/>
    <mergeCell ref="K24:K25"/>
    <mergeCell ref="L24:O25"/>
    <mergeCell ref="Q24:R24"/>
    <mergeCell ref="V24:X24"/>
    <mergeCell ref="G25:H25"/>
    <mergeCell ref="Q25:R25"/>
    <mergeCell ref="V25:X25"/>
    <mergeCell ref="D23:E23"/>
    <mergeCell ref="H8:I8"/>
    <mergeCell ref="H9:I9"/>
    <mergeCell ref="H10:I10"/>
    <mergeCell ref="H11:I11"/>
    <mergeCell ref="H12:I12"/>
    <mergeCell ref="H13:I13"/>
    <mergeCell ref="H14:I14"/>
    <mergeCell ref="H15:I15"/>
    <mergeCell ref="H16:I16"/>
    <mergeCell ref="C19:Y20"/>
    <mergeCell ref="C21:K22"/>
    <mergeCell ref="H7:I7"/>
    <mergeCell ref="K7:K8"/>
    <mergeCell ref="L7:L8"/>
    <mergeCell ref="M7:M8"/>
    <mergeCell ref="K6:M6"/>
  </mergeCells>
  <conditionalFormatting sqref="K27 U25:U28">
    <cfRule type="cellIs" dxfId="11" priority="6" operator="notBetween">
      <formula>-0.005</formula>
      <formula>0.005</formula>
    </cfRule>
  </conditionalFormatting>
  <conditionalFormatting sqref="K26">
    <cfRule type="cellIs" dxfId="10" priority="5" operator="notBetween">
      <formula>-0.5</formula>
      <formula>0.5</formula>
    </cfRule>
  </conditionalFormatting>
  <conditionalFormatting sqref="P31:X36">
    <cfRule type="cellIs" dxfId="9" priority="3" operator="equal">
      <formula>0</formula>
    </cfRule>
  </conditionalFormatting>
  <conditionalFormatting sqref="G8:G9 G11:G16">
    <cfRule type="cellIs" dxfId="8" priority="1" operator="notBetween">
      <formula>-0.005</formula>
      <formula>0.005</formula>
    </cfRule>
  </conditionalFormatting>
  <dataValidations count="2">
    <dataValidation type="list" allowBlank="1" showInputMessage="1" showErrorMessage="1" sqref="D37:D38" xr:uid="{DE762737-F792-4CF4-A237-6F93983C4E32}">
      <formula1>Resource_Name</formula1>
    </dataValidation>
    <dataValidation type="list" allowBlank="1" showInputMessage="1" showErrorMessage="1" sqref="D31" xr:uid="{DD3AEE7E-2FF0-452C-80D9-403122FBE323}">
      <formula1>Names</formula1>
    </dataValidation>
  </dataValidations>
  <pageMargins left="0.7" right="0.7" top="0.75" bottom="0.75" header="0.3" footer="0.3"/>
  <pageSetup paperSize="9" orientation="portrait" horizontalDpi="30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B51AD-E861-433E-9E88-B084B7D89C90}">
  <sheetPr codeName="Sheet17"/>
  <dimension ref="A1:AA72"/>
  <sheetViews>
    <sheetView zoomScale="85" zoomScaleNormal="85" workbookViewId="0">
      <selection activeCell="L13" sqref="L13"/>
    </sheetView>
  </sheetViews>
  <sheetFormatPr defaultColWidth="8.54296875" defaultRowHeight="14.5" x14ac:dyDescent="0.35"/>
  <cols>
    <col min="1" max="1" width="2" customWidth="1"/>
    <col min="2" max="2" width="2.54296875" style="1" customWidth="1"/>
    <col min="3" max="3" width="3.453125" style="1" customWidth="1"/>
    <col min="4" max="4" width="29.54296875" style="1" customWidth="1"/>
    <col min="5" max="5" width="22.81640625" style="1" customWidth="1"/>
    <col min="6" max="8" width="19.453125" style="1" customWidth="1"/>
    <col min="9" max="9" width="23.1796875" style="1" customWidth="1"/>
    <col min="10" max="10" width="17.1796875" style="1" customWidth="1"/>
    <col min="11" max="11" width="20.1796875" style="1" customWidth="1"/>
    <col min="12" max="12" width="16.54296875" style="1" bestFit="1" customWidth="1"/>
    <col min="13" max="13" width="18.1796875" style="1" customWidth="1"/>
    <col min="14" max="14" width="14.453125" style="1" customWidth="1"/>
    <col min="15" max="18" width="8.54296875" style="1"/>
    <col min="19" max="20" width="9.54296875" style="1" customWidth="1"/>
    <col min="21" max="25" width="8.54296875" style="1"/>
    <col min="26" max="26" width="3.54296875" style="1" customWidth="1"/>
    <col min="27" max="27" width="3.453125" style="1" customWidth="1"/>
    <col min="28" max="16384" width="8.54296875" style="1"/>
  </cols>
  <sheetData>
    <row r="1" spans="2:27" ht="12" customHeight="1" thickBot="1" x14ac:dyDescent="0.4"/>
    <row r="2" spans="2:27" x14ac:dyDescent="0.35">
      <c r="B2" s="20"/>
      <c r="C2" s="231"/>
      <c r="D2" s="231"/>
      <c r="E2" s="231"/>
      <c r="F2" s="231"/>
      <c r="G2" s="231"/>
      <c r="H2" s="231"/>
      <c r="I2" s="231"/>
      <c r="J2" s="231"/>
      <c r="K2" s="231"/>
      <c r="L2" s="231"/>
      <c r="M2" s="231"/>
      <c r="N2" s="231"/>
      <c r="O2" s="231"/>
      <c r="P2" s="231"/>
      <c r="Q2" s="231"/>
      <c r="R2" s="231"/>
      <c r="S2" s="231"/>
      <c r="T2" s="231"/>
      <c r="U2" s="231"/>
      <c r="V2" s="231"/>
      <c r="W2" s="231"/>
      <c r="X2" s="231"/>
      <c r="Y2" s="231"/>
      <c r="Z2" s="231"/>
      <c r="AA2" s="23"/>
    </row>
    <row r="3" spans="2:27" ht="27.65" customHeight="1" x14ac:dyDescent="0.35">
      <c r="B3" s="29"/>
      <c r="C3" s="232" t="s">
        <v>135</v>
      </c>
      <c r="D3" s="44"/>
      <c r="E3" s="44"/>
      <c r="F3" s="44"/>
      <c r="G3" s="44"/>
      <c r="H3" s="44"/>
      <c r="I3" s="44"/>
      <c r="J3" s="44"/>
      <c r="K3" s="44"/>
      <c r="L3" s="44"/>
      <c r="M3" s="44"/>
      <c r="N3" s="44"/>
      <c r="O3" s="44"/>
      <c r="P3" s="44"/>
      <c r="Q3" s="44"/>
      <c r="R3" s="44"/>
      <c r="S3" s="44"/>
      <c r="T3" s="44"/>
      <c r="U3" s="44"/>
      <c r="V3" s="44"/>
      <c r="W3" s="44"/>
      <c r="X3" s="45"/>
      <c r="Y3" s="45"/>
      <c r="Z3" s="49"/>
      <c r="AA3" s="26"/>
    </row>
    <row r="4" spans="2:27" x14ac:dyDescent="0.35">
      <c r="B4" s="29"/>
      <c r="C4" s="50"/>
      <c r="D4" s="233"/>
      <c r="E4" s="233"/>
      <c r="F4" s="233"/>
      <c r="G4" s="233"/>
      <c r="H4" s="233"/>
      <c r="I4" s="233"/>
      <c r="J4" s="233"/>
      <c r="K4" s="233"/>
      <c r="L4" s="233"/>
      <c r="M4" s="233"/>
      <c r="N4" s="233"/>
      <c r="O4" s="233"/>
      <c r="P4" s="233"/>
      <c r="Q4" s="233"/>
      <c r="R4" s="233"/>
      <c r="S4" s="233"/>
      <c r="T4" s="233"/>
      <c r="U4" s="233"/>
      <c r="V4" s="233"/>
      <c r="W4" s="233"/>
      <c r="X4" s="234"/>
      <c r="Y4" s="234"/>
      <c r="Z4" s="56"/>
      <c r="AA4" s="26"/>
    </row>
    <row r="5" spans="2:27" x14ac:dyDescent="0.35">
      <c r="B5" s="29"/>
      <c r="C5" s="205"/>
      <c r="D5" s="235"/>
      <c r="Z5" s="75"/>
      <c r="AA5" s="26"/>
    </row>
    <row r="6" spans="2:27" x14ac:dyDescent="0.35">
      <c r="B6" s="29"/>
      <c r="C6" s="236"/>
      <c r="D6" s="237" t="s">
        <v>136</v>
      </c>
      <c r="E6" s="47"/>
      <c r="F6" s="47"/>
      <c r="G6" s="47"/>
      <c r="H6" s="47"/>
      <c r="I6" s="238"/>
      <c r="K6" s="426" t="s">
        <v>137</v>
      </c>
      <c r="L6" s="427"/>
      <c r="M6" s="428"/>
      <c r="Y6" s="291"/>
      <c r="Z6" s="75"/>
      <c r="AA6" s="26"/>
    </row>
    <row r="7" spans="2:27" x14ac:dyDescent="0.35">
      <c r="B7" s="29"/>
      <c r="C7" s="205"/>
      <c r="D7" s="235"/>
      <c r="E7" s="239" t="s">
        <v>138</v>
      </c>
      <c r="F7" s="239" t="s">
        <v>139</v>
      </c>
      <c r="G7" s="240" t="s">
        <v>140</v>
      </c>
      <c r="H7" s="429" t="s">
        <v>141</v>
      </c>
      <c r="I7" s="430"/>
      <c r="K7" s="431" t="s">
        <v>94</v>
      </c>
      <c r="L7" s="431" t="s">
        <v>142</v>
      </c>
      <c r="M7" s="431" t="s">
        <v>62</v>
      </c>
      <c r="Y7" s="292"/>
      <c r="AA7" s="26"/>
    </row>
    <row r="8" spans="2:27" s="62" customFormat="1" ht="14.9" customHeight="1" x14ac:dyDescent="0.35">
      <c r="B8" s="241"/>
      <c r="C8" s="242"/>
      <c r="D8" s="243" t="s">
        <v>143</v>
      </c>
      <c r="E8" s="244">
        <f>SUM(M31:M405)</f>
        <v>2710</v>
      </c>
      <c r="F8" s="244">
        <f>SUM(M9:M16)</f>
        <v>2710</v>
      </c>
      <c r="G8" s="245">
        <f>E8-F8</f>
        <v>0</v>
      </c>
      <c r="H8" s="433"/>
      <c r="I8" s="434"/>
      <c r="J8" s="1"/>
      <c r="K8" s="432"/>
      <c r="L8" s="432"/>
      <c r="M8" s="432"/>
      <c r="N8" s="1"/>
      <c r="O8" s="1"/>
      <c r="P8" s="1"/>
      <c r="Q8" s="1"/>
      <c r="R8" s="1"/>
      <c r="S8" s="1"/>
      <c r="T8" s="1"/>
      <c r="U8" s="1"/>
      <c r="V8" s="1"/>
      <c r="W8" s="1"/>
      <c r="X8" s="1"/>
      <c r="Y8" s="292"/>
      <c r="AA8" s="246"/>
    </row>
    <row r="9" spans="2:27" x14ac:dyDescent="0.35">
      <c r="B9" s="29"/>
      <c r="C9" s="68"/>
      <c r="D9" s="243" t="s">
        <v>144</v>
      </c>
      <c r="E9" s="247">
        <f>SUMIF(F31:F405,"GDS *",M31:M405)/E8</f>
        <v>0.33210332103321033</v>
      </c>
      <c r="F9" s="247">
        <f>SUM(M14:M16)/F8</f>
        <v>0.33210332103321033</v>
      </c>
      <c r="G9" s="248">
        <f>E9-F9</f>
        <v>0</v>
      </c>
      <c r="H9" s="433"/>
      <c r="I9" s="434"/>
      <c r="K9" s="341" t="s">
        <v>24</v>
      </c>
      <c r="L9" s="342">
        <f>M9/$F$8</f>
        <v>3.6900369003690037E-2</v>
      </c>
      <c r="M9" s="343">
        <f>'Project Plan - Transf. Deepdive'!H39</f>
        <v>100</v>
      </c>
      <c r="AA9" s="26"/>
    </row>
    <row r="10" spans="2:27" x14ac:dyDescent="0.35">
      <c r="B10" s="29"/>
      <c r="C10" s="68"/>
      <c r="D10" s="251" t="s">
        <v>145</v>
      </c>
      <c r="E10" s="252"/>
      <c r="F10" s="252"/>
      <c r="G10" s="252"/>
      <c r="H10" s="435"/>
      <c r="I10" s="436"/>
      <c r="K10" s="341" t="s">
        <v>25</v>
      </c>
      <c r="L10" s="342">
        <f t="shared" ref="L10:L16" si="0">M10/$F$8</f>
        <v>0.13284132841328414</v>
      </c>
      <c r="M10" s="343">
        <f>'Project Plan - Transf. Deepdive'!I39+'Project Plan - Transf. Deepdive'!J39</f>
        <v>360</v>
      </c>
      <c r="AA10" s="26"/>
    </row>
    <row r="11" spans="2:27" x14ac:dyDescent="0.35">
      <c r="B11" s="29"/>
      <c r="C11" s="68"/>
      <c r="D11" s="253" t="s">
        <v>24</v>
      </c>
      <c r="E11" s="247">
        <f>SUMIF($G$31:$G$405,D11,$L$31:$L$405)</f>
        <v>3.6900369003690037E-2</v>
      </c>
      <c r="F11" s="247">
        <f>L9</f>
        <v>3.6900369003690037E-2</v>
      </c>
      <c r="G11" s="248">
        <f t="shared" ref="G11:G16" si="1">E11-F11</f>
        <v>0</v>
      </c>
      <c r="H11" s="433"/>
      <c r="I11" s="434"/>
      <c r="K11" s="341" t="s">
        <v>26</v>
      </c>
      <c r="L11" s="342">
        <f t="shared" si="0"/>
        <v>0.16605166051660517</v>
      </c>
      <c r="M11" s="343">
        <f>'Project Plan - Transf. Deepdive'!K39</f>
        <v>450</v>
      </c>
      <c r="AA11" s="26"/>
    </row>
    <row r="12" spans="2:27" x14ac:dyDescent="0.35">
      <c r="B12" s="29"/>
      <c r="C12" s="68"/>
      <c r="D12" s="253" t="s">
        <v>109</v>
      </c>
      <c r="E12" s="247">
        <f t="shared" ref="E12:E16" si="2">SUMIF($G$31:$G$405,D12,$L$31:$L$405)</f>
        <v>0</v>
      </c>
      <c r="F12" s="247">
        <f>0%</f>
        <v>0</v>
      </c>
      <c r="G12" s="248">
        <f t="shared" si="1"/>
        <v>0</v>
      </c>
      <c r="H12" s="433"/>
      <c r="I12" s="434"/>
      <c r="K12" s="341" t="s">
        <v>27</v>
      </c>
      <c r="L12" s="342">
        <f t="shared" si="0"/>
        <v>0.16605166051660517</v>
      </c>
      <c r="M12" s="343">
        <f>'Project Plan - Transf. Deepdive'!L39</f>
        <v>450</v>
      </c>
      <c r="AA12" s="26"/>
    </row>
    <row r="13" spans="2:27" x14ac:dyDescent="0.35">
      <c r="B13" s="29"/>
      <c r="C13" s="68"/>
      <c r="D13" s="253" t="s">
        <v>25</v>
      </c>
      <c r="E13" s="247">
        <f>SUMIF($G$31:$G$405,D13,$L$31:$L$405)</f>
        <v>0.13284132841328414</v>
      </c>
      <c r="F13" s="247">
        <f>L10+L14</f>
        <v>0.13284132841328414</v>
      </c>
      <c r="G13" s="248">
        <f t="shared" si="1"/>
        <v>0</v>
      </c>
      <c r="H13" s="433"/>
      <c r="I13" s="434"/>
      <c r="K13" s="341" t="s">
        <v>28</v>
      </c>
      <c r="L13" s="342">
        <f t="shared" si="0"/>
        <v>0.16605166051660517</v>
      </c>
      <c r="M13" s="343">
        <f>'Project Plan - Transf. Deepdive'!M39</f>
        <v>450</v>
      </c>
      <c r="AA13" s="26"/>
    </row>
    <row r="14" spans="2:27" x14ac:dyDescent="0.35">
      <c r="B14" s="29"/>
      <c r="C14" s="68"/>
      <c r="D14" s="253" t="s">
        <v>26</v>
      </c>
      <c r="E14" s="247">
        <f t="shared" si="2"/>
        <v>0.33210332103321033</v>
      </c>
      <c r="F14" s="247">
        <f>L11+L15</f>
        <v>0.33210332103321033</v>
      </c>
      <c r="G14" s="248">
        <f t="shared" si="1"/>
        <v>0</v>
      </c>
      <c r="H14" s="433"/>
      <c r="I14" s="434"/>
      <c r="K14" s="341" t="s">
        <v>29</v>
      </c>
      <c r="L14" s="342">
        <f t="shared" si="0"/>
        <v>0</v>
      </c>
      <c r="M14" s="343">
        <f>'Project Plan - Transf. Deepdive'!N39</f>
        <v>0</v>
      </c>
      <c r="AA14" s="26"/>
    </row>
    <row r="15" spans="2:27" x14ac:dyDescent="0.35">
      <c r="B15" s="29"/>
      <c r="C15" s="68"/>
      <c r="D15" s="253" t="s">
        <v>27</v>
      </c>
      <c r="E15" s="247">
        <f t="shared" si="2"/>
        <v>0.33210332103321033</v>
      </c>
      <c r="F15" s="247">
        <f>L12+L16</f>
        <v>0.33210332103321033</v>
      </c>
      <c r="G15" s="248">
        <f t="shared" si="1"/>
        <v>0</v>
      </c>
      <c r="H15" s="433"/>
      <c r="I15" s="434"/>
      <c r="J15" s="254"/>
      <c r="K15" s="341" t="s">
        <v>30</v>
      </c>
      <c r="L15" s="342">
        <f t="shared" si="0"/>
        <v>0.16605166051660517</v>
      </c>
      <c r="M15" s="343">
        <f>'Project Plan - Transf. Deepdive'!O39</f>
        <v>450</v>
      </c>
      <c r="N15" s="256"/>
      <c r="O15" s="185"/>
      <c r="Y15"/>
      <c r="AA15" s="26"/>
    </row>
    <row r="16" spans="2:27" x14ac:dyDescent="0.35">
      <c r="B16" s="29"/>
      <c r="C16" s="68"/>
      <c r="D16" s="253" t="s">
        <v>28</v>
      </c>
      <c r="E16" s="247">
        <f t="shared" si="2"/>
        <v>0.16605166051660517</v>
      </c>
      <c r="F16" s="247">
        <f>L13</f>
        <v>0.16605166051660517</v>
      </c>
      <c r="G16" s="248">
        <f t="shared" si="1"/>
        <v>0</v>
      </c>
      <c r="H16" s="433"/>
      <c r="I16" s="434"/>
      <c r="J16" s="254"/>
      <c r="K16" s="341" t="s">
        <v>31</v>
      </c>
      <c r="L16" s="342">
        <f t="shared" si="0"/>
        <v>0.16605166051660517</v>
      </c>
      <c r="M16" s="343">
        <f>'Project Plan - Transf. Deepdive'!P39</f>
        <v>450</v>
      </c>
      <c r="N16" s="185"/>
      <c r="Y16" s="74"/>
      <c r="Z16" s="60"/>
      <c r="AA16" s="26"/>
    </row>
    <row r="17" spans="2:27" x14ac:dyDescent="0.35">
      <c r="B17" s="29"/>
      <c r="C17" s="111"/>
      <c r="D17" s="113"/>
      <c r="E17" s="113"/>
      <c r="F17" s="113"/>
      <c r="G17" s="113"/>
      <c r="H17" s="113"/>
      <c r="I17" s="113"/>
      <c r="J17" s="113"/>
      <c r="K17" s="113"/>
      <c r="L17" s="113"/>
      <c r="M17" s="113"/>
      <c r="N17" s="113"/>
      <c r="O17" s="113"/>
      <c r="P17" s="113"/>
      <c r="Q17" s="113"/>
      <c r="R17" s="113"/>
      <c r="S17" s="113"/>
      <c r="T17" s="113"/>
      <c r="U17" s="113"/>
      <c r="V17" s="113"/>
      <c r="W17" s="113"/>
      <c r="X17" s="114"/>
      <c r="Y17" s="115"/>
      <c r="Z17" s="118"/>
      <c r="AA17" s="26"/>
    </row>
    <row r="18" spans="2:27" x14ac:dyDescent="0.35">
      <c r="B18" s="25"/>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26"/>
    </row>
    <row r="19" spans="2:27" x14ac:dyDescent="0.35">
      <c r="B19" s="29"/>
      <c r="C19" s="437" t="s">
        <v>146</v>
      </c>
      <c r="D19" s="438"/>
      <c r="E19" s="438"/>
      <c r="F19" s="438"/>
      <c r="G19" s="438"/>
      <c r="H19" s="438"/>
      <c r="I19" s="438"/>
      <c r="J19" s="438"/>
      <c r="K19" s="438"/>
      <c r="L19" s="438"/>
      <c r="M19" s="438"/>
      <c r="N19" s="438"/>
      <c r="O19" s="438"/>
      <c r="P19" s="438"/>
      <c r="Q19" s="438"/>
      <c r="R19" s="438"/>
      <c r="S19" s="438"/>
      <c r="T19" s="438"/>
      <c r="U19" s="438"/>
      <c r="V19" s="438"/>
      <c r="W19" s="438"/>
      <c r="X19" s="438"/>
      <c r="Y19" s="438"/>
      <c r="Z19" s="439"/>
      <c r="AA19" s="26"/>
    </row>
    <row r="20" spans="2:27" x14ac:dyDescent="0.35">
      <c r="B20" s="29"/>
      <c r="C20" s="440"/>
      <c r="D20" s="441"/>
      <c r="E20" s="441"/>
      <c r="F20" s="441"/>
      <c r="G20" s="441"/>
      <c r="H20" s="441"/>
      <c r="I20" s="441"/>
      <c r="J20" s="441"/>
      <c r="K20" s="441"/>
      <c r="L20" s="441"/>
      <c r="M20" s="441"/>
      <c r="N20" s="441"/>
      <c r="O20" s="441"/>
      <c r="P20" s="441"/>
      <c r="Q20" s="441"/>
      <c r="R20" s="441"/>
      <c r="S20" s="441"/>
      <c r="T20" s="441"/>
      <c r="U20" s="441"/>
      <c r="V20" s="441"/>
      <c r="W20" s="441"/>
      <c r="X20" s="441"/>
      <c r="Y20" s="441"/>
      <c r="Z20" s="442"/>
      <c r="AA20" s="26"/>
    </row>
    <row r="21" spans="2:27" ht="26.15" customHeight="1" x14ac:dyDescent="0.35">
      <c r="B21" s="29"/>
      <c r="C21" s="443" t="s">
        <v>147</v>
      </c>
      <c r="D21" s="444"/>
      <c r="E21" s="444"/>
      <c r="F21" s="444"/>
      <c r="G21" s="444"/>
      <c r="H21" s="444"/>
      <c r="I21" s="444"/>
      <c r="J21" s="444"/>
      <c r="K21" s="444"/>
      <c r="L21" s="257"/>
      <c r="M21" s="257"/>
      <c r="N21" s="257"/>
      <c r="O21" s="257"/>
      <c r="P21" s="257"/>
      <c r="Q21" s="257"/>
      <c r="R21" s="257"/>
      <c r="S21" s="257"/>
      <c r="T21" s="257"/>
      <c r="U21" s="257"/>
      <c r="V21" s="257"/>
      <c r="W21" s="257"/>
      <c r="X21" s="257"/>
      <c r="Y21" s="257"/>
      <c r="Z21" s="258"/>
      <c r="AA21" s="26"/>
    </row>
    <row r="22" spans="2:27" ht="26.15" customHeight="1" x14ac:dyDescent="0.35">
      <c r="B22" s="29"/>
      <c r="C22" s="445"/>
      <c r="D22" s="446"/>
      <c r="E22" s="446"/>
      <c r="F22" s="446"/>
      <c r="G22" s="446"/>
      <c r="H22" s="446"/>
      <c r="I22" s="446"/>
      <c r="J22" s="446"/>
      <c r="K22" s="446"/>
      <c r="L22" s="255"/>
      <c r="M22" s="255"/>
      <c r="N22" s="255"/>
      <c r="O22" s="255"/>
      <c r="P22" s="255"/>
      <c r="Q22" s="255"/>
      <c r="R22" s="255"/>
      <c r="S22" s="255"/>
      <c r="T22" s="255"/>
      <c r="U22" s="255"/>
      <c r="V22" s="255"/>
      <c r="W22" s="255"/>
      <c r="X22" s="255"/>
      <c r="Y22" s="255"/>
      <c r="Z22" s="259"/>
      <c r="AA22" s="26"/>
    </row>
    <row r="23" spans="2:27" ht="40.5" customHeight="1" x14ac:dyDescent="0.35">
      <c r="B23" s="29"/>
      <c r="C23" s="260"/>
      <c r="D23" s="394" t="s">
        <v>148</v>
      </c>
      <c r="E23" s="395"/>
      <c r="F23" s="261"/>
      <c r="G23" s="347" t="s">
        <v>149</v>
      </c>
      <c r="H23" s="348"/>
      <c r="I23" s="349" t="s">
        <v>150</v>
      </c>
      <c r="J23" s="349" t="s">
        <v>151</v>
      </c>
      <c r="K23" s="262"/>
      <c r="L23" s="262"/>
      <c r="M23" s="262"/>
      <c r="N23" s="262"/>
      <c r="O23" s="262"/>
      <c r="P23" s="262"/>
      <c r="Q23" s="262"/>
      <c r="R23" s="262"/>
      <c r="S23" s="262"/>
      <c r="T23" s="262"/>
      <c r="U23" s="262"/>
      <c r="V23" s="262"/>
      <c r="W23" s="262"/>
      <c r="X23" s="262"/>
      <c r="Y23" s="262"/>
      <c r="Z23" s="259"/>
      <c r="AA23" s="26"/>
    </row>
    <row r="24" spans="2:27" ht="14.9" customHeight="1" x14ac:dyDescent="0.35">
      <c r="B24" s="29"/>
      <c r="C24" s="263"/>
      <c r="D24" s="264" t="s">
        <v>152</v>
      </c>
      <c r="E24" s="265">
        <v>0.55000000000000004</v>
      </c>
      <c r="F24" s="266"/>
      <c r="G24" s="447" t="s">
        <v>153</v>
      </c>
      <c r="H24" s="448"/>
      <c r="I24" s="267">
        <f>I25/(1-E24)</f>
        <v>535911.11111111112</v>
      </c>
      <c r="J24" s="267">
        <f>J25/(1-E24)</f>
        <v>535911.11111111112</v>
      </c>
      <c r="K24" s="449"/>
      <c r="L24" s="449"/>
      <c r="M24" s="449"/>
      <c r="N24" s="449"/>
      <c r="O24" s="449"/>
      <c r="P24" s="255"/>
      <c r="Q24" s="450"/>
      <c r="R24" s="450"/>
      <c r="S24" s="268"/>
      <c r="T24" s="268"/>
      <c r="U24" s="269"/>
      <c r="V24" s="449"/>
      <c r="W24" s="449"/>
      <c r="X24" s="449"/>
      <c r="Y24" s="449"/>
      <c r="Z24" s="270"/>
      <c r="AA24" s="26"/>
    </row>
    <row r="25" spans="2:27" ht="14.9" customHeight="1" x14ac:dyDescent="0.35">
      <c r="B25" s="29"/>
      <c r="C25" s="263"/>
      <c r="D25" s="264" t="s">
        <v>154</v>
      </c>
      <c r="E25" s="265">
        <v>0.1</v>
      </c>
      <c r="F25" s="266"/>
      <c r="G25" s="451" t="s">
        <v>155</v>
      </c>
      <c r="H25" s="452"/>
      <c r="I25" s="271">
        <f>SUM(K31:K40)</f>
        <v>241160</v>
      </c>
      <c r="J25" s="271">
        <f>'Project Plan - Transf. Deepdive'!F39</f>
        <v>241160</v>
      </c>
      <c r="K25" s="449"/>
      <c r="L25" s="449"/>
      <c r="M25" s="449"/>
      <c r="N25" s="449"/>
      <c r="O25" s="449"/>
      <c r="P25" s="255"/>
      <c r="Q25" s="453"/>
      <c r="R25" s="453"/>
      <c r="S25" s="272"/>
      <c r="T25" s="273"/>
      <c r="U25" s="273"/>
      <c r="V25" s="454"/>
      <c r="W25" s="454"/>
      <c r="X25" s="454"/>
      <c r="Y25" s="454"/>
      <c r="Z25" s="270"/>
      <c r="AA25" s="26"/>
    </row>
    <row r="26" spans="2:27" ht="14.9" customHeight="1" x14ac:dyDescent="0.35">
      <c r="B26" s="29"/>
      <c r="C26" s="263"/>
      <c r="D26" s="274"/>
      <c r="E26" s="275"/>
      <c r="F26" s="276"/>
      <c r="G26" s="451" t="s">
        <v>156</v>
      </c>
      <c r="H26" s="452"/>
      <c r="I26" s="267">
        <f>I24-I25</f>
        <v>294751.11111111112</v>
      </c>
      <c r="J26" s="267">
        <f>J24-J25</f>
        <v>294751.11111111112</v>
      </c>
      <c r="K26" s="272"/>
      <c r="L26" s="454"/>
      <c r="M26" s="454"/>
      <c r="N26" s="454"/>
      <c r="O26" s="454"/>
      <c r="P26" s="255"/>
      <c r="Q26" s="453"/>
      <c r="R26" s="453"/>
      <c r="S26" s="272"/>
      <c r="T26" s="273"/>
      <c r="U26" s="273"/>
      <c r="V26" s="454"/>
      <c r="W26" s="454"/>
      <c r="X26" s="454"/>
      <c r="Y26" s="454"/>
      <c r="Z26" s="270"/>
      <c r="AA26" s="26"/>
    </row>
    <row r="27" spans="2:27" ht="14.9" customHeight="1" x14ac:dyDescent="0.35">
      <c r="B27" s="29"/>
      <c r="C27" s="263"/>
      <c r="D27" s="390"/>
      <c r="E27" s="390"/>
      <c r="F27" s="455"/>
      <c r="G27" s="451" t="s">
        <v>157</v>
      </c>
      <c r="H27" s="452"/>
      <c r="I27" s="271">
        <f>I24*E25</f>
        <v>53591.111111111117</v>
      </c>
      <c r="J27" s="271">
        <f>I24*E25</f>
        <v>53591.111111111117</v>
      </c>
      <c r="K27" s="273"/>
      <c r="L27" s="454"/>
      <c r="M27" s="454"/>
      <c r="N27" s="454"/>
      <c r="O27" s="454"/>
      <c r="P27" s="255"/>
      <c r="Q27" s="453"/>
      <c r="R27" s="453"/>
      <c r="S27" s="272"/>
      <c r="T27" s="273"/>
      <c r="U27" s="273"/>
      <c r="V27" s="454"/>
      <c r="W27" s="454"/>
      <c r="X27" s="454"/>
      <c r="Y27" s="454"/>
      <c r="Z27" s="270"/>
      <c r="AA27" s="26"/>
    </row>
    <row r="28" spans="2:27" ht="14.9" customHeight="1" x14ac:dyDescent="0.35">
      <c r="B28" s="29"/>
      <c r="C28" s="263"/>
      <c r="D28" s="268"/>
      <c r="E28" s="272"/>
      <c r="F28" s="455"/>
      <c r="G28" s="456" t="s">
        <v>158</v>
      </c>
      <c r="H28" s="457"/>
      <c r="I28" s="277">
        <f>I24+I27</f>
        <v>589502.22222222225</v>
      </c>
      <c r="J28" s="277">
        <f>J24+J27</f>
        <v>589502.22222222225</v>
      </c>
      <c r="K28" s="278"/>
      <c r="L28" s="255"/>
      <c r="M28" s="255"/>
      <c r="N28" s="255"/>
      <c r="O28" s="255"/>
      <c r="P28" s="255"/>
      <c r="Q28" s="453"/>
      <c r="R28" s="453"/>
      <c r="S28" s="272"/>
      <c r="T28" s="273"/>
      <c r="U28" s="273"/>
      <c r="V28" s="454"/>
      <c r="W28" s="454"/>
      <c r="X28" s="454"/>
      <c r="Y28" s="454"/>
      <c r="Z28" s="270"/>
      <c r="AA28" s="26"/>
    </row>
    <row r="29" spans="2:27" x14ac:dyDescent="0.35">
      <c r="B29" s="29"/>
      <c r="C29" s="263"/>
      <c r="D29" s="268"/>
      <c r="E29" s="272"/>
      <c r="F29" s="272"/>
      <c r="G29" s="255"/>
      <c r="H29" s="255"/>
      <c r="I29" s="255"/>
      <c r="J29" s="255"/>
      <c r="K29" s="255"/>
      <c r="L29" s="255"/>
      <c r="M29" s="255"/>
      <c r="N29" s="255"/>
      <c r="O29" s="255"/>
      <c r="P29" s="255"/>
      <c r="Q29" s="279"/>
      <c r="R29" s="255"/>
      <c r="S29" s="255"/>
      <c r="T29" s="255"/>
      <c r="U29" s="255"/>
      <c r="V29" s="255"/>
      <c r="W29" s="255"/>
      <c r="X29" s="255"/>
      <c r="Y29" s="255"/>
      <c r="Z29" s="270"/>
      <c r="AA29" s="26"/>
    </row>
    <row r="30" spans="2:27" s="285" customFormat="1" x14ac:dyDescent="0.35">
      <c r="B30" s="280"/>
      <c r="C30" s="281"/>
      <c r="D30" s="264" t="s">
        <v>93</v>
      </c>
      <c r="E30" s="264" t="s">
        <v>159</v>
      </c>
      <c r="F30" s="264" t="s">
        <v>94</v>
      </c>
      <c r="G30" s="264" t="s">
        <v>160</v>
      </c>
      <c r="H30" s="264" t="s">
        <v>161</v>
      </c>
      <c r="I30" s="264" t="s">
        <v>162</v>
      </c>
      <c r="J30" s="264" t="s">
        <v>163</v>
      </c>
      <c r="K30" s="264" t="s">
        <v>155</v>
      </c>
      <c r="L30" s="264" t="s">
        <v>164</v>
      </c>
      <c r="M30" s="264" t="s">
        <v>143</v>
      </c>
      <c r="N30" s="282" t="s">
        <v>165</v>
      </c>
      <c r="O30" s="282" t="s">
        <v>166</v>
      </c>
      <c r="P30" s="282" t="s">
        <v>167</v>
      </c>
      <c r="Q30" s="282" t="s">
        <v>168</v>
      </c>
      <c r="R30" s="282" t="s">
        <v>169</v>
      </c>
      <c r="S30" s="282" t="s">
        <v>170</v>
      </c>
      <c r="T30" s="282" t="s">
        <v>171</v>
      </c>
      <c r="U30" s="282" t="s">
        <v>172</v>
      </c>
      <c r="V30" s="282" t="s">
        <v>173</v>
      </c>
      <c r="W30" s="282" t="s">
        <v>174</v>
      </c>
      <c r="X30" s="282" t="s">
        <v>177</v>
      </c>
      <c r="Y30" s="282" t="s">
        <v>175</v>
      </c>
      <c r="Z30" s="283"/>
      <c r="AA30" s="284"/>
    </row>
    <row r="31" spans="2:27" x14ac:dyDescent="0.35">
      <c r="B31" s="29"/>
      <c r="C31" s="68"/>
      <c r="D31" s="286" t="s">
        <v>100</v>
      </c>
      <c r="E31" s="286" t="s">
        <v>102</v>
      </c>
      <c r="F31" s="221" t="str">
        <f t="shared" ref="F31:F40" si="3">IF(D31=0,"",VLOOKUP(D31,Resources,2,FALSE))</f>
        <v>Partner 1</v>
      </c>
      <c r="G31" s="221" t="str">
        <f t="shared" ref="G31:G40" si="4">IF(D31=0,"",VLOOKUP(D31,Resources,3,FALSE))</f>
        <v>Partner</v>
      </c>
      <c r="H31" s="221" t="str">
        <f t="shared" ref="H31:H40" si="5">IF(D31=0,"",VLOOKUP(D31,Resources,4,FALSE))</f>
        <v>United States</v>
      </c>
      <c r="I31" s="221" t="str">
        <f t="shared" ref="I31:I40" si="6">IF(D31=0,"",VLOOKUP(D31,Resources,5,FALSE))</f>
        <v>Supply Chain</v>
      </c>
      <c r="J31" s="287">
        <f t="shared" ref="J31:J40" si="7">IF(D31=0,"",VLOOKUP(D31,Resources,6,FALSE))</f>
        <v>617</v>
      </c>
      <c r="K31" s="287">
        <f t="shared" ref="K31:K40" si="8">IF(AND(M31&lt;&gt;"",J31&lt;&gt;""),M31*J31,"")</f>
        <v>61700</v>
      </c>
      <c r="L31" s="288">
        <f>M31/(SUM($M$31:$M$40))</f>
        <v>3.6900369003690037E-2</v>
      </c>
      <c r="M31" s="289">
        <f>SUM(N31:Y31)</f>
        <v>100</v>
      </c>
      <c r="N31" s="249">
        <v>0</v>
      </c>
      <c r="O31" s="249">
        <v>0</v>
      </c>
      <c r="P31" s="250">
        <v>10</v>
      </c>
      <c r="Q31" s="250">
        <v>10</v>
      </c>
      <c r="R31" s="250">
        <v>10</v>
      </c>
      <c r="S31" s="250">
        <v>10</v>
      </c>
      <c r="T31" s="250">
        <v>10</v>
      </c>
      <c r="U31" s="250">
        <v>10</v>
      </c>
      <c r="V31" s="250">
        <v>10</v>
      </c>
      <c r="W31" s="250">
        <v>10</v>
      </c>
      <c r="X31" s="250">
        <v>10</v>
      </c>
      <c r="Y31" s="250">
        <v>10</v>
      </c>
      <c r="Z31" s="60"/>
      <c r="AA31" s="26"/>
    </row>
    <row r="32" spans="2:27" x14ac:dyDescent="0.35">
      <c r="B32" s="29"/>
      <c r="C32" s="68"/>
      <c r="D32" s="286" t="s">
        <v>103</v>
      </c>
      <c r="E32" s="286" t="s">
        <v>102</v>
      </c>
      <c r="F32" s="221" t="str">
        <f t="shared" si="3"/>
        <v>Senior Manager 1</v>
      </c>
      <c r="G32" s="221" t="str">
        <f t="shared" si="4"/>
        <v>Senior Manager</v>
      </c>
      <c r="H32" s="221" t="str">
        <f t="shared" si="5"/>
        <v>United States</v>
      </c>
      <c r="I32" s="221" t="str">
        <f t="shared" si="6"/>
        <v>Supply Chain</v>
      </c>
      <c r="J32" s="287">
        <f t="shared" si="7"/>
        <v>171</v>
      </c>
      <c r="K32" s="287">
        <f t="shared" si="8"/>
        <v>6840</v>
      </c>
      <c r="L32" s="288">
        <f t="shared" ref="L32:L38" si="9">M32/(SUM($M$31:$M$40))</f>
        <v>1.4760147601476014E-2</v>
      </c>
      <c r="M32" s="289">
        <f t="shared" ref="M32:M38" si="10">SUM(N32:Y32)</f>
        <v>40</v>
      </c>
      <c r="N32" s="249">
        <v>0</v>
      </c>
      <c r="O32" s="249">
        <v>0</v>
      </c>
      <c r="P32" s="250">
        <v>4</v>
      </c>
      <c r="Q32" s="250">
        <v>4</v>
      </c>
      <c r="R32" s="250">
        <v>4</v>
      </c>
      <c r="S32" s="250">
        <v>4</v>
      </c>
      <c r="T32" s="250">
        <v>4</v>
      </c>
      <c r="U32" s="250">
        <v>4</v>
      </c>
      <c r="V32" s="250">
        <v>4</v>
      </c>
      <c r="W32" s="250">
        <v>4</v>
      </c>
      <c r="X32" s="250">
        <v>4</v>
      </c>
      <c r="Y32" s="250">
        <v>4</v>
      </c>
      <c r="Z32" s="60"/>
      <c r="AA32" s="26"/>
    </row>
    <row r="33" spans="2:27" x14ac:dyDescent="0.35">
      <c r="B33" s="29"/>
      <c r="C33" s="68"/>
      <c r="D33" s="286" t="s">
        <v>105</v>
      </c>
      <c r="E33" s="286" t="s">
        <v>102</v>
      </c>
      <c r="F33" s="221" t="str">
        <f t="shared" si="3"/>
        <v>Senior Manager 2</v>
      </c>
      <c r="G33" s="221" t="str">
        <f t="shared" si="4"/>
        <v>Senior Manager</v>
      </c>
      <c r="H33" s="221" t="str">
        <f t="shared" si="5"/>
        <v>United States</v>
      </c>
      <c r="I33" s="221" t="str">
        <f t="shared" si="6"/>
        <v>Supply Chain</v>
      </c>
      <c r="J33" s="287">
        <f t="shared" si="7"/>
        <v>171</v>
      </c>
      <c r="K33" s="287">
        <f t="shared" si="8"/>
        <v>54720</v>
      </c>
      <c r="L33" s="288">
        <f t="shared" si="9"/>
        <v>0.11808118081180811</v>
      </c>
      <c r="M33" s="289">
        <f t="shared" si="10"/>
        <v>320</v>
      </c>
      <c r="N33" s="249">
        <v>0</v>
      </c>
      <c r="O33" s="249">
        <v>0</v>
      </c>
      <c r="P33" s="250">
        <v>32</v>
      </c>
      <c r="Q33" s="250">
        <v>32</v>
      </c>
      <c r="R33" s="250">
        <v>32</v>
      </c>
      <c r="S33" s="250">
        <v>32</v>
      </c>
      <c r="T33" s="250">
        <v>32</v>
      </c>
      <c r="U33" s="250">
        <v>32</v>
      </c>
      <c r="V33" s="250">
        <v>32</v>
      </c>
      <c r="W33" s="250">
        <v>32</v>
      </c>
      <c r="X33" s="250">
        <v>32</v>
      </c>
      <c r="Y33" s="250">
        <v>32</v>
      </c>
      <c r="Z33" s="60"/>
      <c r="AA33" s="26"/>
    </row>
    <row r="34" spans="2:27" x14ac:dyDescent="0.35">
      <c r="B34" s="29"/>
      <c r="C34" s="68"/>
      <c r="D34" s="286" t="s">
        <v>107</v>
      </c>
      <c r="E34" s="286" t="s">
        <v>102</v>
      </c>
      <c r="F34" s="221" t="str">
        <f t="shared" si="3"/>
        <v>Manager 1</v>
      </c>
      <c r="G34" s="221" t="str">
        <f t="shared" si="4"/>
        <v>Manager</v>
      </c>
      <c r="H34" s="221" t="str">
        <f t="shared" si="5"/>
        <v>United States</v>
      </c>
      <c r="I34" s="221" t="str">
        <f t="shared" si="6"/>
        <v>Supply Chain</v>
      </c>
      <c r="J34" s="287">
        <f t="shared" si="7"/>
        <v>98</v>
      </c>
      <c r="K34" s="287">
        <f t="shared" si="8"/>
        <v>44100</v>
      </c>
      <c r="L34" s="288">
        <f t="shared" si="9"/>
        <v>0.16605166051660517</v>
      </c>
      <c r="M34" s="289">
        <f t="shared" si="10"/>
        <v>450</v>
      </c>
      <c r="N34" s="249">
        <v>0</v>
      </c>
      <c r="O34" s="249">
        <v>0</v>
      </c>
      <c r="P34" s="250">
        <v>45</v>
      </c>
      <c r="Q34" s="250">
        <v>45</v>
      </c>
      <c r="R34" s="250">
        <v>45</v>
      </c>
      <c r="S34" s="250">
        <v>45</v>
      </c>
      <c r="T34" s="250">
        <v>45</v>
      </c>
      <c r="U34" s="250">
        <v>45</v>
      </c>
      <c r="V34" s="250">
        <v>45</v>
      </c>
      <c r="W34" s="250">
        <v>45</v>
      </c>
      <c r="X34" s="250">
        <v>45</v>
      </c>
      <c r="Y34" s="250">
        <v>45</v>
      </c>
      <c r="Z34" s="60"/>
      <c r="AA34" s="26"/>
    </row>
    <row r="35" spans="2:27" x14ac:dyDescent="0.35">
      <c r="B35" s="29"/>
      <c r="C35" s="68"/>
      <c r="D35" s="286" t="s">
        <v>110</v>
      </c>
      <c r="E35" s="286" t="s">
        <v>102</v>
      </c>
      <c r="F35" s="221" t="str">
        <f t="shared" si="3"/>
        <v>Senior 1</v>
      </c>
      <c r="G35" s="221" t="str">
        <f t="shared" si="4"/>
        <v>Senior</v>
      </c>
      <c r="H35" s="221" t="str">
        <f t="shared" si="5"/>
        <v>United States</v>
      </c>
      <c r="I35" s="221" t="str">
        <f t="shared" si="6"/>
        <v>Supply Chain</v>
      </c>
      <c r="J35" s="287">
        <f t="shared" si="7"/>
        <v>59</v>
      </c>
      <c r="K35" s="287">
        <f t="shared" si="8"/>
        <v>26550</v>
      </c>
      <c r="L35" s="288">
        <f t="shared" si="9"/>
        <v>0.16605166051660517</v>
      </c>
      <c r="M35" s="289">
        <f t="shared" si="10"/>
        <v>450</v>
      </c>
      <c r="N35" s="249">
        <v>0</v>
      </c>
      <c r="O35" s="249">
        <v>0</v>
      </c>
      <c r="P35" s="250">
        <v>45</v>
      </c>
      <c r="Q35" s="250">
        <v>45</v>
      </c>
      <c r="R35" s="250">
        <v>45</v>
      </c>
      <c r="S35" s="250">
        <v>45</v>
      </c>
      <c r="T35" s="250">
        <v>45</v>
      </c>
      <c r="U35" s="250">
        <v>45</v>
      </c>
      <c r="V35" s="250">
        <v>45</v>
      </c>
      <c r="W35" s="250">
        <v>45</v>
      </c>
      <c r="X35" s="250">
        <v>45</v>
      </c>
      <c r="Y35" s="250">
        <v>45</v>
      </c>
      <c r="Z35" s="60"/>
      <c r="AA35" s="26"/>
    </row>
    <row r="36" spans="2:27" x14ac:dyDescent="0.35">
      <c r="B36" s="29"/>
      <c r="C36" s="68"/>
      <c r="D36" s="286" t="s">
        <v>112</v>
      </c>
      <c r="E36" s="286" t="s">
        <v>102</v>
      </c>
      <c r="F36" s="221" t="str">
        <f t="shared" si="3"/>
        <v>Staff 1</v>
      </c>
      <c r="G36" s="221" t="str">
        <f t="shared" si="4"/>
        <v>Staff</v>
      </c>
      <c r="H36" s="221" t="str">
        <f t="shared" si="5"/>
        <v>United States</v>
      </c>
      <c r="I36" s="221" t="str">
        <f t="shared" si="6"/>
        <v>Supply Chain</v>
      </c>
      <c r="J36" s="287">
        <f t="shared" si="7"/>
        <v>50</v>
      </c>
      <c r="K36" s="287">
        <f t="shared" si="8"/>
        <v>22500</v>
      </c>
      <c r="L36" s="288">
        <f t="shared" si="9"/>
        <v>0.16605166051660517</v>
      </c>
      <c r="M36" s="289">
        <f t="shared" si="10"/>
        <v>450</v>
      </c>
      <c r="N36" s="249">
        <v>0</v>
      </c>
      <c r="O36" s="249">
        <v>0</v>
      </c>
      <c r="P36" s="250">
        <v>45</v>
      </c>
      <c r="Q36" s="250">
        <v>45</v>
      </c>
      <c r="R36" s="250">
        <v>45</v>
      </c>
      <c r="S36" s="250">
        <v>45</v>
      </c>
      <c r="T36" s="250">
        <v>45</v>
      </c>
      <c r="U36" s="250">
        <v>45</v>
      </c>
      <c r="V36" s="250">
        <v>45</v>
      </c>
      <c r="W36" s="250">
        <v>45</v>
      </c>
      <c r="X36" s="250">
        <v>45</v>
      </c>
      <c r="Y36" s="250">
        <v>45</v>
      </c>
      <c r="Z36" s="60"/>
      <c r="AA36" s="26"/>
    </row>
    <row r="37" spans="2:27" x14ac:dyDescent="0.35">
      <c r="B37" s="29"/>
      <c r="C37" s="68"/>
      <c r="D37" s="286" t="s">
        <v>118</v>
      </c>
      <c r="E37" s="286" t="s">
        <v>176</v>
      </c>
      <c r="F37" s="221" t="str">
        <f t="shared" si="3"/>
        <v>GDS Manager</v>
      </c>
      <c r="G37" s="221" t="str">
        <f t="shared" si="4"/>
        <v>Manager</v>
      </c>
      <c r="H37" s="221" t="str">
        <f t="shared" si="5"/>
        <v>India</v>
      </c>
      <c r="I37" s="221" t="str">
        <f t="shared" si="6"/>
        <v>GDS</v>
      </c>
      <c r="J37" s="287">
        <f t="shared" si="7"/>
        <v>34</v>
      </c>
      <c r="K37" s="287">
        <f t="shared" si="8"/>
        <v>15300</v>
      </c>
      <c r="L37" s="288">
        <f t="shared" si="9"/>
        <v>0.16605166051660517</v>
      </c>
      <c r="M37" s="289">
        <f t="shared" si="10"/>
        <v>450</v>
      </c>
      <c r="N37" s="249">
        <v>0</v>
      </c>
      <c r="O37" s="249">
        <v>0</v>
      </c>
      <c r="P37" s="250">
        <v>45</v>
      </c>
      <c r="Q37" s="250">
        <v>45</v>
      </c>
      <c r="R37" s="250">
        <v>45</v>
      </c>
      <c r="S37" s="250">
        <v>45</v>
      </c>
      <c r="T37" s="250">
        <v>45</v>
      </c>
      <c r="U37" s="250">
        <v>45</v>
      </c>
      <c r="V37" s="250">
        <v>45</v>
      </c>
      <c r="W37" s="250">
        <v>45</v>
      </c>
      <c r="X37" s="250">
        <v>45</v>
      </c>
      <c r="Y37" s="250">
        <v>45</v>
      </c>
      <c r="Z37" s="60"/>
      <c r="AA37" s="26"/>
    </row>
    <row r="38" spans="2:27" x14ac:dyDescent="0.35">
      <c r="B38" s="29"/>
      <c r="C38" s="68"/>
      <c r="D38" s="286" t="s">
        <v>119</v>
      </c>
      <c r="E38" s="286" t="s">
        <v>176</v>
      </c>
      <c r="F38" s="221" t="str">
        <f t="shared" si="3"/>
        <v>GDS Senior</v>
      </c>
      <c r="G38" s="221" t="str">
        <f t="shared" si="4"/>
        <v>Senior</v>
      </c>
      <c r="H38" s="221" t="str">
        <f t="shared" si="5"/>
        <v>India</v>
      </c>
      <c r="I38" s="221" t="str">
        <f t="shared" si="6"/>
        <v>GDS</v>
      </c>
      <c r="J38" s="287">
        <f t="shared" si="7"/>
        <v>21</v>
      </c>
      <c r="K38" s="287">
        <f t="shared" si="8"/>
        <v>9450</v>
      </c>
      <c r="L38" s="288">
        <f t="shared" si="9"/>
        <v>0.16605166051660517</v>
      </c>
      <c r="M38" s="289">
        <f t="shared" si="10"/>
        <v>450</v>
      </c>
      <c r="N38" s="249">
        <v>0</v>
      </c>
      <c r="O38" s="249">
        <v>0</v>
      </c>
      <c r="P38" s="250">
        <v>45</v>
      </c>
      <c r="Q38" s="250">
        <v>45</v>
      </c>
      <c r="R38" s="250">
        <v>45</v>
      </c>
      <c r="S38" s="250">
        <v>45</v>
      </c>
      <c r="T38" s="250">
        <v>45</v>
      </c>
      <c r="U38" s="250">
        <v>45</v>
      </c>
      <c r="V38" s="250">
        <v>45</v>
      </c>
      <c r="W38" s="250">
        <v>45</v>
      </c>
      <c r="X38" s="250">
        <v>45</v>
      </c>
      <c r="Y38" s="250">
        <v>45</v>
      </c>
      <c r="Z38" s="60"/>
      <c r="AA38" s="26"/>
    </row>
    <row r="39" spans="2:27" x14ac:dyDescent="0.35">
      <c r="B39" s="29"/>
      <c r="C39" s="68"/>
      <c r="D39" s="286"/>
      <c r="E39" s="286"/>
      <c r="F39" s="221" t="str">
        <f t="shared" si="3"/>
        <v/>
      </c>
      <c r="G39" s="221" t="str">
        <f t="shared" si="4"/>
        <v/>
      </c>
      <c r="H39" s="221" t="str">
        <f t="shared" si="5"/>
        <v/>
      </c>
      <c r="I39" s="221" t="str">
        <f t="shared" si="6"/>
        <v/>
      </c>
      <c r="J39" s="287" t="str">
        <f t="shared" si="7"/>
        <v/>
      </c>
      <c r="K39" s="287" t="str">
        <f t="shared" si="8"/>
        <v/>
      </c>
      <c r="L39" s="288"/>
      <c r="M39" s="289"/>
      <c r="N39" s="249"/>
      <c r="O39" s="249"/>
      <c r="P39" s="249"/>
      <c r="Q39" s="249"/>
      <c r="R39" s="249"/>
      <c r="S39" s="249"/>
      <c r="T39" s="249"/>
      <c r="U39" s="249"/>
      <c r="V39" s="249"/>
      <c r="W39" s="249"/>
      <c r="X39" s="249"/>
      <c r="Y39" s="249"/>
      <c r="Z39" s="60"/>
      <c r="AA39" s="26"/>
    </row>
    <row r="40" spans="2:27" x14ac:dyDescent="0.35">
      <c r="B40" s="29"/>
      <c r="C40" s="68"/>
      <c r="D40" s="286"/>
      <c r="E40" s="286" t="str">
        <f>IF(D40=0,"",IF(VLOOKUP(D40,Resources,2,FALSE)=0,"",VLOOKUP(D40,Resources,2,FALSE)))</f>
        <v/>
      </c>
      <c r="F40" s="221" t="str">
        <f t="shared" si="3"/>
        <v/>
      </c>
      <c r="G40" s="221" t="str">
        <f t="shared" si="4"/>
        <v/>
      </c>
      <c r="H40" s="221" t="str">
        <f t="shared" si="5"/>
        <v/>
      </c>
      <c r="I40" s="221" t="str">
        <f t="shared" si="6"/>
        <v/>
      </c>
      <c r="J40" s="287" t="str">
        <f t="shared" si="7"/>
        <v/>
      </c>
      <c r="K40" s="287" t="str">
        <f t="shared" si="8"/>
        <v/>
      </c>
      <c r="L40" s="288" t="str">
        <f>IF(M40&lt;&gt;"",M40/$E$8,"")</f>
        <v/>
      </c>
      <c r="M40" s="289" t="str">
        <f>IF(SUM(N40:Y40)=0,"",SUM(N40:Y40))</f>
        <v/>
      </c>
      <c r="N40" s="249"/>
      <c r="O40" s="249"/>
      <c r="P40" s="249"/>
      <c r="Q40" s="249"/>
      <c r="R40" s="249"/>
      <c r="S40" s="249"/>
      <c r="T40" s="249"/>
      <c r="U40" s="249"/>
      <c r="V40" s="249"/>
      <c r="W40" s="249"/>
      <c r="X40" s="249"/>
      <c r="Y40" s="249"/>
      <c r="Z40" s="60"/>
      <c r="AA40" s="26"/>
    </row>
    <row r="41" spans="2:27" x14ac:dyDescent="0.35">
      <c r="B41" s="29"/>
      <c r="C41" s="111"/>
      <c r="D41" s="113"/>
      <c r="E41" s="113"/>
      <c r="F41" s="113"/>
      <c r="G41" s="113"/>
      <c r="H41" s="113"/>
      <c r="I41" s="113"/>
      <c r="J41" s="113"/>
      <c r="K41" s="113"/>
      <c r="L41" s="113"/>
      <c r="M41" s="113"/>
      <c r="N41" s="113"/>
      <c r="O41" s="113"/>
      <c r="P41" s="113"/>
      <c r="Q41" s="113"/>
      <c r="R41" s="113"/>
      <c r="S41" s="113"/>
      <c r="T41" s="113"/>
      <c r="U41" s="113"/>
      <c r="V41" s="113"/>
      <c r="W41" s="113"/>
      <c r="X41" s="114"/>
      <c r="Y41" s="114"/>
      <c r="Z41" s="118"/>
      <c r="AA41" s="26"/>
    </row>
    <row r="42" spans="2:27" x14ac:dyDescent="0.35">
      <c r="B42" s="25"/>
      <c r="C42" s="152"/>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26"/>
    </row>
    <row r="43" spans="2:27" x14ac:dyDescent="0.35">
      <c r="B43" s="25"/>
      <c r="C43" s="290"/>
      <c r="D43" s="290"/>
      <c r="E43" s="290"/>
      <c r="F43" s="290"/>
      <c r="G43" s="290"/>
      <c r="H43" s="290"/>
      <c r="I43" s="290"/>
      <c r="J43" s="290"/>
      <c r="K43" s="290"/>
      <c r="L43" s="290"/>
      <c r="M43" s="290"/>
      <c r="N43" s="290"/>
      <c r="O43" s="290"/>
      <c r="P43" s="290"/>
      <c r="Q43" s="290"/>
      <c r="R43" s="290"/>
      <c r="S43" s="290"/>
      <c r="T43" s="290"/>
      <c r="U43" s="290"/>
      <c r="V43" s="290"/>
      <c r="W43" s="290"/>
      <c r="X43" s="290"/>
      <c r="Y43" s="290"/>
      <c r="Z43" s="290"/>
      <c r="AA43" s="26"/>
    </row>
    <row r="44" spans="2:27" x14ac:dyDescent="0.35">
      <c r="B44" s="25"/>
      <c r="C44" s="290"/>
      <c r="D44" s="290"/>
      <c r="E44" s="290"/>
      <c r="F44" s="290"/>
      <c r="G44" s="290"/>
      <c r="H44" s="290"/>
      <c r="I44" s="290"/>
      <c r="J44" s="290"/>
      <c r="K44" s="290"/>
      <c r="L44" s="290"/>
      <c r="M44" s="290"/>
      <c r="N44" s="290"/>
      <c r="O44" s="290"/>
      <c r="P44" s="290"/>
      <c r="Q44" s="290"/>
      <c r="R44" s="290"/>
      <c r="S44" s="290"/>
      <c r="T44" s="290"/>
      <c r="U44" s="290"/>
      <c r="V44" s="290"/>
      <c r="W44" s="290"/>
      <c r="X44" s="290"/>
      <c r="Y44" s="290"/>
      <c r="Z44" s="290"/>
      <c r="AA44" s="26"/>
    </row>
    <row r="45" spans="2:27" x14ac:dyDescent="0.35">
      <c r="B45" s="25"/>
      <c r="C45" s="290"/>
      <c r="D45" s="290"/>
      <c r="E45" s="290"/>
      <c r="F45" s="290"/>
      <c r="G45" s="290"/>
      <c r="H45" s="290"/>
      <c r="I45" s="290"/>
      <c r="J45" s="290"/>
      <c r="K45" s="290"/>
      <c r="L45" s="290"/>
      <c r="M45" s="290"/>
      <c r="N45" s="290"/>
      <c r="O45" s="290"/>
      <c r="P45" s="290"/>
      <c r="Q45" s="290"/>
      <c r="R45" s="290"/>
      <c r="S45" s="290"/>
      <c r="T45" s="290"/>
      <c r="U45" s="290"/>
      <c r="V45" s="290"/>
      <c r="W45" s="290"/>
      <c r="X45" s="290"/>
      <c r="Y45" s="290"/>
      <c r="Z45" s="290"/>
      <c r="AA45" s="26"/>
    </row>
    <row r="46" spans="2:27" x14ac:dyDescent="0.35">
      <c r="B46" s="25"/>
      <c r="C46" s="290"/>
      <c r="D46" s="290"/>
      <c r="E46" s="290"/>
      <c r="F46" s="290"/>
      <c r="G46" s="290"/>
      <c r="H46" s="290"/>
      <c r="I46" s="290"/>
      <c r="J46" s="290"/>
      <c r="K46" s="290"/>
      <c r="L46" s="290"/>
      <c r="M46" s="290"/>
      <c r="N46" s="290"/>
      <c r="O46" s="290"/>
      <c r="P46" s="290"/>
      <c r="Q46" s="290"/>
      <c r="R46" s="290"/>
      <c r="S46" s="290"/>
      <c r="T46" s="290"/>
      <c r="U46" s="290"/>
      <c r="V46" s="290"/>
      <c r="W46" s="290"/>
      <c r="X46" s="290"/>
      <c r="Y46" s="290"/>
      <c r="Z46" s="290"/>
      <c r="AA46" s="26"/>
    </row>
    <row r="47" spans="2:27" x14ac:dyDescent="0.35">
      <c r="B47" s="25"/>
      <c r="C47" s="290"/>
      <c r="D47" s="290"/>
      <c r="E47" s="290"/>
      <c r="F47" s="290"/>
      <c r="G47" s="290"/>
      <c r="H47" s="290"/>
      <c r="I47" s="290"/>
      <c r="J47" s="290"/>
      <c r="K47" s="290"/>
      <c r="L47" s="290"/>
      <c r="M47" s="290"/>
      <c r="N47" s="290"/>
      <c r="O47" s="290"/>
      <c r="P47" s="290"/>
      <c r="Q47" s="290"/>
      <c r="R47" s="290"/>
      <c r="S47" s="290"/>
      <c r="T47" s="290"/>
      <c r="U47" s="290"/>
      <c r="V47" s="290"/>
      <c r="W47" s="290"/>
      <c r="X47" s="290"/>
      <c r="Y47" s="290"/>
      <c r="Z47" s="290"/>
      <c r="AA47" s="26"/>
    </row>
    <row r="48" spans="2:27" x14ac:dyDescent="0.35">
      <c r="B48" s="25"/>
      <c r="C48" s="290"/>
      <c r="D48" s="290"/>
      <c r="E48" s="290"/>
      <c r="F48" s="290"/>
      <c r="G48" s="290"/>
      <c r="H48" s="290"/>
      <c r="I48" s="290"/>
      <c r="J48" s="290"/>
      <c r="K48" s="290"/>
      <c r="L48" s="290"/>
      <c r="M48" s="290"/>
      <c r="N48" s="290"/>
      <c r="O48" s="290"/>
      <c r="P48" s="290"/>
      <c r="Q48" s="290"/>
      <c r="R48" s="290"/>
      <c r="S48" s="290"/>
      <c r="T48" s="290"/>
      <c r="U48" s="290"/>
      <c r="V48" s="290"/>
      <c r="W48" s="290"/>
      <c r="X48" s="290"/>
      <c r="Y48" s="290"/>
      <c r="Z48" s="290"/>
      <c r="AA48" s="26"/>
    </row>
    <row r="49" spans="2:27" x14ac:dyDescent="0.35">
      <c r="B49" s="25"/>
      <c r="C49" s="290"/>
      <c r="D49" s="290"/>
      <c r="E49" s="290"/>
      <c r="F49" s="290"/>
      <c r="G49" s="290"/>
      <c r="H49" s="290"/>
      <c r="I49" s="290"/>
      <c r="J49" s="290"/>
      <c r="K49" s="290"/>
      <c r="L49" s="290"/>
      <c r="M49" s="290"/>
      <c r="N49" s="290"/>
      <c r="O49" s="290"/>
      <c r="P49" s="290"/>
      <c r="Q49" s="290"/>
      <c r="R49" s="290"/>
      <c r="S49" s="290"/>
      <c r="T49" s="290"/>
      <c r="U49" s="290"/>
      <c r="V49" s="290"/>
      <c r="W49" s="290"/>
      <c r="X49" s="290"/>
      <c r="Y49" s="290"/>
      <c r="Z49" s="290"/>
      <c r="AA49" s="26"/>
    </row>
    <row r="50" spans="2:27" x14ac:dyDescent="0.35">
      <c r="B50" s="25"/>
      <c r="C50" s="290"/>
      <c r="D50" s="290"/>
      <c r="E50" s="290"/>
      <c r="F50" s="290"/>
      <c r="G50" s="290"/>
      <c r="H50" s="290"/>
      <c r="I50" s="290"/>
      <c r="J50" s="290"/>
      <c r="K50" s="290"/>
      <c r="L50" s="290"/>
      <c r="M50" s="290"/>
      <c r="N50" s="290"/>
      <c r="O50" s="290"/>
      <c r="P50" s="290"/>
      <c r="Q50" s="290"/>
      <c r="R50" s="290"/>
      <c r="S50" s="290"/>
      <c r="T50" s="290"/>
      <c r="U50" s="290"/>
      <c r="V50" s="290"/>
      <c r="W50" s="290"/>
      <c r="X50" s="290"/>
      <c r="Y50" s="290"/>
      <c r="Z50" s="290"/>
      <c r="AA50" s="26"/>
    </row>
    <row r="51" spans="2:27" x14ac:dyDescent="0.35">
      <c r="B51" s="25"/>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90"/>
      <c r="AA51" s="26"/>
    </row>
    <row r="52" spans="2:27" x14ac:dyDescent="0.35">
      <c r="B52" s="25"/>
      <c r="C52" s="290"/>
      <c r="D52" s="290"/>
      <c r="E52" s="290"/>
      <c r="F52" s="290"/>
      <c r="G52" s="290"/>
      <c r="H52" s="290"/>
      <c r="I52" s="290"/>
      <c r="J52" s="290"/>
      <c r="K52" s="290"/>
      <c r="L52" s="290"/>
      <c r="M52" s="290"/>
      <c r="N52" s="290"/>
      <c r="O52" s="290"/>
      <c r="P52" s="290"/>
      <c r="Q52" s="290"/>
      <c r="R52" s="290"/>
      <c r="S52" s="290"/>
      <c r="T52" s="290"/>
      <c r="U52" s="290"/>
      <c r="V52" s="290"/>
      <c r="W52" s="290"/>
      <c r="X52" s="290"/>
      <c r="Y52" s="290"/>
      <c r="Z52" s="290"/>
      <c r="AA52" s="26"/>
    </row>
    <row r="53" spans="2:27" x14ac:dyDescent="0.35">
      <c r="B53" s="25"/>
      <c r="C53" s="290"/>
      <c r="D53" s="290"/>
      <c r="E53" s="290"/>
      <c r="F53" s="290"/>
      <c r="G53" s="290"/>
      <c r="H53" s="290"/>
      <c r="I53" s="290"/>
      <c r="J53" s="290"/>
      <c r="K53" s="290"/>
      <c r="L53" s="290"/>
      <c r="M53" s="290"/>
      <c r="N53" s="290"/>
      <c r="O53" s="290"/>
      <c r="P53" s="290"/>
      <c r="Q53" s="290"/>
      <c r="R53" s="290"/>
      <c r="S53" s="290"/>
      <c r="T53" s="290"/>
      <c r="U53" s="290"/>
      <c r="V53" s="290"/>
      <c r="W53" s="290"/>
      <c r="X53" s="290"/>
      <c r="Y53" s="290"/>
      <c r="Z53" s="290"/>
      <c r="AA53" s="26"/>
    </row>
    <row r="54" spans="2:27" x14ac:dyDescent="0.35">
      <c r="B54" s="25"/>
      <c r="C54" s="290"/>
      <c r="D54" s="290"/>
      <c r="E54" s="290"/>
      <c r="F54" s="290"/>
      <c r="G54" s="290"/>
      <c r="H54" s="290"/>
      <c r="I54" s="290"/>
      <c r="J54" s="290"/>
      <c r="K54" s="290"/>
      <c r="L54" s="290"/>
      <c r="M54" s="290"/>
      <c r="N54" s="290"/>
      <c r="O54" s="290"/>
      <c r="P54" s="290"/>
      <c r="Q54" s="290"/>
      <c r="R54" s="290"/>
      <c r="S54" s="290"/>
      <c r="T54" s="290"/>
      <c r="U54" s="290"/>
      <c r="V54" s="290"/>
      <c r="W54" s="290"/>
      <c r="X54" s="290"/>
      <c r="Y54" s="290"/>
      <c r="Z54" s="290"/>
      <c r="AA54" s="26"/>
    </row>
    <row r="55" spans="2:27" x14ac:dyDescent="0.35">
      <c r="B55" s="25"/>
      <c r="C55" s="290"/>
      <c r="D55" s="290"/>
      <c r="E55" s="290"/>
      <c r="F55" s="290"/>
      <c r="G55" s="290"/>
      <c r="H55" s="290"/>
      <c r="I55" s="290"/>
      <c r="J55" s="290"/>
      <c r="K55" s="290"/>
      <c r="L55" s="290"/>
      <c r="M55" s="290"/>
      <c r="N55" s="290"/>
      <c r="O55" s="290"/>
      <c r="P55" s="290"/>
      <c r="Q55" s="290"/>
      <c r="R55" s="290"/>
      <c r="S55" s="290"/>
      <c r="T55" s="290"/>
      <c r="U55" s="290"/>
      <c r="V55" s="290"/>
      <c r="W55" s="290"/>
      <c r="X55" s="290"/>
      <c r="Y55" s="290"/>
      <c r="Z55" s="290"/>
      <c r="AA55" s="26"/>
    </row>
    <row r="56" spans="2:27" x14ac:dyDescent="0.35">
      <c r="B56" s="25"/>
      <c r="C56" s="290"/>
      <c r="D56" s="290"/>
      <c r="E56" s="290"/>
      <c r="F56" s="290"/>
      <c r="G56" s="290"/>
      <c r="H56" s="290"/>
      <c r="I56" s="290"/>
      <c r="J56" s="290"/>
      <c r="K56" s="290"/>
      <c r="L56" s="290"/>
      <c r="M56" s="290"/>
      <c r="N56" s="290"/>
      <c r="O56" s="290"/>
      <c r="P56" s="290"/>
      <c r="Q56" s="290"/>
      <c r="R56" s="290"/>
      <c r="S56" s="290"/>
      <c r="T56" s="290"/>
      <c r="U56" s="290"/>
      <c r="V56" s="290"/>
      <c r="W56" s="290"/>
      <c r="X56" s="290"/>
      <c r="Y56" s="290"/>
      <c r="Z56" s="290"/>
      <c r="AA56" s="26"/>
    </row>
    <row r="57" spans="2:27" x14ac:dyDescent="0.35">
      <c r="B57" s="25"/>
      <c r="C57" s="290"/>
      <c r="D57" s="290"/>
      <c r="E57" s="290"/>
      <c r="F57" s="290"/>
      <c r="G57" s="290"/>
      <c r="H57" s="290"/>
      <c r="I57" s="290"/>
      <c r="J57" s="290"/>
      <c r="K57" s="290"/>
      <c r="L57" s="290"/>
      <c r="M57" s="290"/>
      <c r="N57" s="290"/>
      <c r="O57" s="290"/>
      <c r="P57" s="290"/>
      <c r="Q57" s="290"/>
      <c r="R57" s="290"/>
      <c r="S57" s="290"/>
      <c r="T57" s="290"/>
      <c r="U57" s="290"/>
      <c r="V57" s="290"/>
      <c r="W57" s="290"/>
      <c r="X57" s="290"/>
      <c r="Y57" s="290"/>
      <c r="Z57" s="290"/>
      <c r="AA57" s="26"/>
    </row>
    <row r="58" spans="2:27" x14ac:dyDescent="0.35">
      <c r="B58" s="25"/>
      <c r="C58" s="290"/>
      <c r="D58" s="290"/>
      <c r="E58" s="290"/>
      <c r="F58" s="290"/>
      <c r="G58" s="290"/>
      <c r="H58" s="290"/>
      <c r="I58" s="290"/>
      <c r="J58" s="290"/>
      <c r="K58" s="290"/>
      <c r="L58" s="290"/>
      <c r="M58" s="290"/>
      <c r="N58" s="290"/>
      <c r="O58" s="290"/>
      <c r="P58" s="290"/>
      <c r="Q58" s="290"/>
      <c r="R58" s="290"/>
      <c r="S58" s="290"/>
      <c r="T58" s="290"/>
      <c r="U58" s="290"/>
      <c r="V58" s="290"/>
      <c r="W58" s="290"/>
      <c r="X58" s="290"/>
      <c r="Y58" s="290"/>
      <c r="Z58" s="290"/>
      <c r="AA58" s="26"/>
    </row>
    <row r="59" spans="2:27" x14ac:dyDescent="0.35">
      <c r="B59" s="25"/>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90"/>
      <c r="AA59" s="26"/>
    </row>
    <row r="60" spans="2:27" x14ac:dyDescent="0.35">
      <c r="B60" s="25"/>
      <c r="C60" s="290"/>
      <c r="D60" s="290"/>
      <c r="E60" s="290"/>
      <c r="F60" s="290"/>
      <c r="G60" s="290"/>
      <c r="H60" s="290"/>
      <c r="I60" s="290"/>
      <c r="J60" s="290"/>
      <c r="K60" s="290"/>
      <c r="L60" s="290"/>
      <c r="M60" s="290"/>
      <c r="N60" s="290"/>
      <c r="O60" s="290"/>
      <c r="P60" s="290"/>
      <c r="Q60" s="290"/>
      <c r="R60" s="290"/>
      <c r="S60" s="290"/>
      <c r="T60" s="290"/>
      <c r="U60" s="290"/>
      <c r="V60" s="290"/>
      <c r="W60" s="290"/>
      <c r="X60" s="290"/>
      <c r="Y60" s="290"/>
      <c r="Z60" s="290"/>
      <c r="AA60" s="26"/>
    </row>
    <row r="61" spans="2:27" x14ac:dyDescent="0.35">
      <c r="B61" s="25"/>
      <c r="C61" s="290"/>
      <c r="D61" s="290"/>
      <c r="E61" s="290"/>
      <c r="F61" s="290"/>
      <c r="G61" s="290"/>
      <c r="H61" s="290"/>
      <c r="I61" s="290"/>
      <c r="J61" s="290"/>
      <c r="K61" s="290"/>
      <c r="L61" s="290"/>
      <c r="M61" s="290"/>
      <c r="N61" s="290"/>
      <c r="O61" s="290"/>
      <c r="P61" s="290"/>
      <c r="Q61" s="290"/>
      <c r="R61" s="290"/>
      <c r="S61" s="290"/>
      <c r="T61" s="290"/>
      <c r="U61" s="290"/>
      <c r="V61" s="290"/>
      <c r="W61" s="290"/>
      <c r="X61" s="290"/>
      <c r="Y61" s="290"/>
      <c r="Z61" s="290"/>
      <c r="AA61" s="26"/>
    </row>
    <row r="62" spans="2:27" x14ac:dyDescent="0.35">
      <c r="B62" s="25"/>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90"/>
      <c r="AA62" s="26"/>
    </row>
    <row r="63" spans="2:27" x14ac:dyDescent="0.35">
      <c r="B63" s="25"/>
      <c r="C63" s="290"/>
      <c r="D63" s="290"/>
      <c r="E63" s="290"/>
      <c r="F63" s="290"/>
      <c r="G63" s="290"/>
      <c r="H63" s="290"/>
      <c r="I63" s="290"/>
      <c r="J63" s="290"/>
      <c r="K63" s="290"/>
      <c r="L63" s="290"/>
      <c r="M63" s="290"/>
      <c r="N63" s="290"/>
      <c r="O63" s="290"/>
      <c r="P63" s="290"/>
      <c r="Q63" s="290"/>
      <c r="R63" s="290"/>
      <c r="S63" s="290"/>
      <c r="T63" s="290"/>
      <c r="U63" s="290"/>
      <c r="V63" s="290"/>
      <c r="W63" s="290"/>
      <c r="X63" s="290"/>
      <c r="Y63" s="290"/>
      <c r="Z63" s="290"/>
      <c r="AA63" s="26"/>
    </row>
    <row r="64" spans="2:27" x14ac:dyDescent="0.35">
      <c r="B64" s="25"/>
      <c r="C64" s="290"/>
      <c r="D64" s="290"/>
      <c r="E64" s="290"/>
      <c r="F64" s="290"/>
      <c r="G64" s="290"/>
      <c r="H64" s="290"/>
      <c r="I64" s="290"/>
      <c r="J64" s="290"/>
      <c r="K64" s="290"/>
      <c r="L64" s="290"/>
      <c r="M64" s="290"/>
      <c r="N64" s="290"/>
      <c r="O64" s="290"/>
      <c r="P64" s="290"/>
      <c r="Q64" s="290"/>
      <c r="R64" s="290"/>
      <c r="S64" s="290"/>
      <c r="T64" s="290"/>
      <c r="U64" s="290"/>
      <c r="V64" s="290"/>
      <c r="W64" s="290"/>
      <c r="X64" s="290"/>
      <c r="Y64" s="290"/>
      <c r="Z64" s="290"/>
      <c r="AA64" s="26"/>
    </row>
    <row r="65" spans="2:27" x14ac:dyDescent="0.35">
      <c r="B65" s="25"/>
      <c r="C65" s="290"/>
      <c r="D65" s="290"/>
      <c r="E65" s="290"/>
      <c r="F65" s="290"/>
      <c r="G65" s="290"/>
      <c r="H65" s="290"/>
      <c r="I65" s="290"/>
      <c r="J65" s="290"/>
      <c r="K65" s="290"/>
      <c r="L65" s="290"/>
      <c r="M65" s="290"/>
      <c r="N65" s="290"/>
      <c r="O65" s="290"/>
      <c r="P65" s="290"/>
      <c r="Q65" s="290"/>
      <c r="R65" s="290"/>
      <c r="S65" s="290"/>
      <c r="T65" s="290"/>
      <c r="U65" s="290"/>
      <c r="V65" s="290"/>
      <c r="W65" s="290"/>
      <c r="X65" s="290"/>
      <c r="Y65" s="290"/>
      <c r="Z65" s="290"/>
      <c r="AA65" s="26"/>
    </row>
    <row r="66" spans="2:27" x14ac:dyDescent="0.35">
      <c r="B66" s="25"/>
      <c r="C66" s="290"/>
      <c r="D66" s="290"/>
      <c r="E66" s="290"/>
      <c r="F66" s="290"/>
      <c r="G66" s="290"/>
      <c r="H66" s="290"/>
      <c r="I66" s="290"/>
      <c r="J66" s="290"/>
      <c r="K66" s="290"/>
      <c r="L66" s="290"/>
      <c r="M66" s="290"/>
      <c r="N66" s="290"/>
      <c r="O66" s="290"/>
      <c r="P66" s="290"/>
      <c r="Q66" s="290"/>
      <c r="R66" s="290"/>
      <c r="S66" s="290"/>
      <c r="T66" s="290"/>
      <c r="U66" s="290"/>
      <c r="V66" s="290"/>
      <c r="W66" s="290"/>
      <c r="X66" s="290"/>
      <c r="Y66" s="290"/>
      <c r="Z66" s="290"/>
      <c r="AA66" s="26"/>
    </row>
    <row r="67" spans="2:27" x14ac:dyDescent="0.35">
      <c r="B67" s="25"/>
      <c r="C67" s="290"/>
      <c r="D67" s="290"/>
      <c r="E67" s="290"/>
      <c r="F67" s="290"/>
      <c r="G67" s="290"/>
      <c r="H67" s="290"/>
      <c r="I67" s="290"/>
      <c r="J67" s="290"/>
      <c r="K67" s="290"/>
      <c r="L67" s="290"/>
      <c r="M67" s="290"/>
      <c r="N67" s="290"/>
      <c r="O67" s="290"/>
      <c r="P67" s="290"/>
      <c r="Q67" s="290"/>
      <c r="R67" s="290"/>
      <c r="S67" s="290"/>
      <c r="T67" s="290"/>
      <c r="U67" s="290"/>
      <c r="V67" s="290"/>
      <c r="W67" s="290"/>
      <c r="X67" s="290"/>
      <c r="Y67" s="290"/>
      <c r="Z67" s="290"/>
      <c r="AA67" s="26"/>
    </row>
    <row r="68" spans="2:27" x14ac:dyDescent="0.35">
      <c r="B68" s="25"/>
      <c r="C68" s="290"/>
      <c r="D68" s="290"/>
      <c r="E68" s="290"/>
      <c r="F68" s="290"/>
      <c r="G68" s="290"/>
      <c r="H68" s="290"/>
      <c r="I68" s="290"/>
      <c r="J68" s="290"/>
      <c r="K68" s="290"/>
      <c r="L68" s="290"/>
      <c r="M68" s="290"/>
      <c r="N68" s="290"/>
      <c r="O68" s="290"/>
      <c r="P68" s="290"/>
      <c r="Q68" s="290"/>
      <c r="R68" s="290"/>
      <c r="S68" s="290"/>
      <c r="T68" s="290"/>
      <c r="U68" s="290"/>
      <c r="V68" s="290"/>
      <c r="W68" s="290"/>
      <c r="X68" s="290"/>
      <c r="Y68" s="290"/>
      <c r="Z68" s="290"/>
      <c r="AA68" s="26"/>
    </row>
    <row r="69" spans="2:27" x14ac:dyDescent="0.35">
      <c r="B69" s="25"/>
      <c r="C69" s="290"/>
      <c r="D69" s="290"/>
      <c r="E69" s="290"/>
      <c r="F69" s="290"/>
      <c r="G69" s="290"/>
      <c r="H69" s="290"/>
      <c r="I69" s="290"/>
      <c r="J69" s="290"/>
      <c r="K69" s="290"/>
      <c r="L69" s="290"/>
      <c r="M69" s="290"/>
      <c r="N69" s="290"/>
      <c r="O69" s="290"/>
      <c r="P69" s="290"/>
      <c r="Q69" s="290"/>
      <c r="R69" s="290"/>
      <c r="S69" s="290"/>
      <c r="T69" s="290"/>
      <c r="U69" s="290"/>
      <c r="V69" s="290"/>
      <c r="W69" s="290"/>
      <c r="X69" s="290"/>
      <c r="Y69" s="290"/>
      <c r="Z69" s="290"/>
      <c r="AA69" s="26"/>
    </row>
    <row r="70" spans="2:27" x14ac:dyDescent="0.35">
      <c r="B70" s="25"/>
      <c r="C70" s="290"/>
      <c r="D70" s="290"/>
      <c r="E70" s="290"/>
      <c r="F70" s="290"/>
      <c r="G70" s="290"/>
      <c r="H70" s="290"/>
      <c r="I70" s="290"/>
      <c r="J70" s="290"/>
      <c r="K70" s="290"/>
      <c r="L70" s="290"/>
      <c r="M70" s="290"/>
      <c r="N70" s="290"/>
      <c r="O70" s="290"/>
      <c r="P70" s="290"/>
      <c r="Q70" s="290"/>
      <c r="R70" s="290"/>
      <c r="S70" s="290"/>
      <c r="T70" s="290"/>
      <c r="U70" s="290"/>
      <c r="V70" s="290"/>
      <c r="W70" s="290"/>
      <c r="X70" s="290"/>
      <c r="Y70" s="290"/>
      <c r="Z70" s="290"/>
      <c r="AA70" s="26"/>
    </row>
    <row r="71" spans="2:27" x14ac:dyDescent="0.35">
      <c r="B71" s="25"/>
      <c r="C71" s="290"/>
      <c r="D71" s="290"/>
      <c r="E71" s="290"/>
      <c r="F71" s="290"/>
      <c r="G71" s="290"/>
      <c r="H71" s="290"/>
      <c r="I71" s="290"/>
      <c r="J71" s="290"/>
      <c r="K71" s="290"/>
      <c r="L71" s="290"/>
      <c r="M71" s="290"/>
      <c r="N71" s="290"/>
      <c r="O71" s="290"/>
      <c r="P71" s="290"/>
      <c r="Q71" s="290"/>
      <c r="R71" s="290"/>
      <c r="S71" s="290"/>
      <c r="T71" s="290"/>
      <c r="U71" s="290"/>
      <c r="V71" s="290"/>
      <c r="W71" s="290"/>
      <c r="X71" s="290"/>
      <c r="Y71" s="290"/>
      <c r="Z71" s="290"/>
      <c r="AA71" s="26"/>
    </row>
    <row r="72" spans="2:27" ht="15" thickBot="1" x14ac:dyDescent="0.4">
      <c r="B72" s="122"/>
      <c r="C72" s="124"/>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126"/>
    </row>
  </sheetData>
  <mergeCells count="38">
    <mergeCell ref="L26:O26"/>
    <mergeCell ref="Q26:R26"/>
    <mergeCell ref="V26:Y26"/>
    <mergeCell ref="L24:O25"/>
    <mergeCell ref="G27:H27"/>
    <mergeCell ref="L27:O27"/>
    <mergeCell ref="Q27:R27"/>
    <mergeCell ref="C21:K22"/>
    <mergeCell ref="D23:E23"/>
    <mergeCell ref="G24:H24"/>
    <mergeCell ref="K24:K25"/>
    <mergeCell ref="V27:Y27"/>
    <mergeCell ref="D27:E27"/>
    <mergeCell ref="F27:F28"/>
    <mergeCell ref="G28:H28"/>
    <mergeCell ref="Q28:R28"/>
    <mergeCell ref="V28:Y28"/>
    <mergeCell ref="Q24:R24"/>
    <mergeCell ref="V24:Y24"/>
    <mergeCell ref="G25:H25"/>
    <mergeCell ref="Q25:R25"/>
    <mergeCell ref="V25:Y25"/>
    <mergeCell ref="G26:H26"/>
    <mergeCell ref="K6:M6"/>
    <mergeCell ref="L7:L8"/>
    <mergeCell ref="M7:M8"/>
    <mergeCell ref="C19:Z20"/>
    <mergeCell ref="H7:I7"/>
    <mergeCell ref="K7:K8"/>
    <mergeCell ref="H8:I8"/>
    <mergeCell ref="H9:I9"/>
    <mergeCell ref="H10:I10"/>
    <mergeCell ref="H11:I11"/>
    <mergeCell ref="H12:I12"/>
    <mergeCell ref="H13:I13"/>
    <mergeCell ref="H14:I14"/>
    <mergeCell ref="H15:I15"/>
    <mergeCell ref="H16:I16"/>
  </mergeCells>
  <phoneticPr fontId="15" type="noConversion"/>
  <conditionalFormatting sqref="K27 U25:U28">
    <cfRule type="cellIs" dxfId="7" priority="6" operator="notBetween">
      <formula>-0.005</formula>
      <formula>0.005</formula>
    </cfRule>
  </conditionalFormatting>
  <conditionalFormatting sqref="K26">
    <cfRule type="cellIs" dxfId="6" priority="5" operator="notBetween">
      <formula>-0.5</formula>
      <formula>0.5</formula>
    </cfRule>
  </conditionalFormatting>
  <conditionalFormatting sqref="P31:Y38">
    <cfRule type="cellIs" dxfId="5" priority="3" operator="equal">
      <formula>0</formula>
    </cfRule>
  </conditionalFormatting>
  <conditionalFormatting sqref="G8:G9 G11:G16">
    <cfRule type="cellIs" dxfId="4" priority="1" operator="notBetween">
      <formula>-0.005</formula>
      <formula>0.005</formula>
    </cfRule>
  </conditionalFormatting>
  <dataValidations count="1">
    <dataValidation type="list" allowBlank="1" showInputMessage="1" showErrorMessage="1" sqref="D31:D40" xr:uid="{773271FC-878A-4AC3-9F50-C163875EF9F8}">
      <formula1>Names</formula1>
    </dataValidation>
  </dataValidations>
  <pageMargins left="0.7" right="0.7" top="0.75" bottom="0.75" header="0.3" footer="0.3"/>
  <pageSetup paperSize="9" orientation="portrait" horizontalDpi="30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BD4D2-EEFD-4A51-86EC-95900B0F16AF}">
  <sheetPr codeName="Sheet18"/>
  <dimension ref="A1:AA70"/>
  <sheetViews>
    <sheetView topLeftCell="A7" zoomScale="57" zoomScaleNormal="46" workbookViewId="0">
      <selection activeCell="M9" sqref="M9:M16"/>
    </sheetView>
  </sheetViews>
  <sheetFormatPr defaultColWidth="8.54296875" defaultRowHeight="14.5" x14ac:dyDescent="0.35"/>
  <cols>
    <col min="1" max="1" width="2" customWidth="1"/>
    <col min="2" max="2" width="2.54296875" style="1" customWidth="1"/>
    <col min="3" max="3" width="3.453125" style="1" customWidth="1"/>
    <col min="4" max="4" width="29.54296875" style="1" customWidth="1"/>
    <col min="5" max="5" width="22.81640625" style="1" customWidth="1"/>
    <col min="6" max="8" width="19.453125" style="1" customWidth="1"/>
    <col min="9" max="9" width="19.81640625" style="1" customWidth="1"/>
    <col min="10" max="10" width="14.1796875" style="1" customWidth="1"/>
    <col min="11" max="11" width="20.1796875" style="1" customWidth="1"/>
    <col min="12" max="12" width="16.54296875" style="1" bestFit="1" customWidth="1"/>
    <col min="13" max="13" width="18.1796875" style="1" customWidth="1"/>
    <col min="14" max="14" width="14.453125" style="1" customWidth="1"/>
    <col min="15" max="18" width="8.54296875" style="1"/>
    <col min="19" max="20" width="9.54296875" style="1" customWidth="1"/>
    <col min="21" max="25" width="8.54296875" style="1"/>
    <col min="26" max="26" width="3.54296875" style="1" customWidth="1"/>
    <col min="27" max="27" width="3.453125" style="1" customWidth="1"/>
    <col min="28" max="16384" width="8.54296875" style="1"/>
  </cols>
  <sheetData>
    <row r="1" spans="2:27" ht="12" customHeight="1" thickBot="1" x14ac:dyDescent="0.4"/>
    <row r="2" spans="2:27" x14ac:dyDescent="0.35">
      <c r="B2" s="20"/>
      <c r="C2" s="231"/>
      <c r="D2" s="231"/>
      <c r="E2" s="231"/>
      <c r="F2" s="231"/>
      <c r="G2" s="231"/>
      <c r="H2" s="231"/>
      <c r="I2" s="231"/>
      <c r="J2" s="231"/>
      <c r="K2" s="231"/>
      <c r="L2" s="231"/>
      <c r="M2" s="231"/>
      <c r="N2" s="231"/>
      <c r="O2" s="231"/>
      <c r="P2" s="231"/>
      <c r="Q2" s="231"/>
      <c r="R2" s="231"/>
      <c r="S2" s="231"/>
      <c r="T2" s="231"/>
      <c r="U2" s="231"/>
      <c r="V2" s="231"/>
      <c r="W2" s="231"/>
      <c r="X2" s="231"/>
      <c r="Y2" s="231"/>
      <c r="Z2" s="231"/>
      <c r="AA2" s="23"/>
    </row>
    <row r="3" spans="2:27" ht="27.65" customHeight="1" x14ac:dyDescent="0.35">
      <c r="B3" s="29"/>
      <c r="C3" s="232" t="s">
        <v>135</v>
      </c>
      <c r="D3" s="44"/>
      <c r="E3" s="44"/>
      <c r="F3" s="44"/>
      <c r="G3" s="44"/>
      <c r="H3" s="44"/>
      <c r="I3" s="44"/>
      <c r="J3" s="44"/>
      <c r="K3" s="44"/>
      <c r="L3" s="44"/>
      <c r="M3" s="44"/>
      <c r="N3" s="44"/>
      <c r="O3" s="44"/>
      <c r="P3" s="44"/>
      <c r="Q3" s="44"/>
      <c r="R3" s="44"/>
      <c r="S3" s="44"/>
      <c r="T3" s="44"/>
      <c r="U3" s="44"/>
      <c r="V3" s="44"/>
      <c r="W3" s="44"/>
      <c r="X3" s="45"/>
      <c r="Y3" s="45"/>
      <c r="Z3" s="49"/>
      <c r="AA3" s="26"/>
    </row>
    <row r="4" spans="2:27" x14ac:dyDescent="0.35">
      <c r="B4" s="29"/>
      <c r="C4" s="50"/>
      <c r="D4" s="233"/>
      <c r="E4" s="233"/>
      <c r="F4" s="233"/>
      <c r="G4" s="233"/>
      <c r="H4" s="233"/>
      <c r="I4" s="233"/>
      <c r="J4" s="233"/>
      <c r="K4" s="233"/>
      <c r="L4" s="233"/>
      <c r="M4" s="233"/>
      <c r="N4" s="233"/>
      <c r="O4" s="233"/>
      <c r="P4" s="233"/>
      <c r="Q4" s="233"/>
      <c r="R4" s="233"/>
      <c r="S4" s="233"/>
      <c r="T4" s="233"/>
      <c r="U4" s="233"/>
      <c r="V4" s="233"/>
      <c r="W4" s="233"/>
      <c r="X4" s="234"/>
      <c r="Y4" s="234"/>
      <c r="Z4" s="56"/>
      <c r="AA4" s="26"/>
    </row>
    <row r="5" spans="2:27" x14ac:dyDescent="0.35">
      <c r="B5" s="29"/>
      <c r="C5" s="205"/>
      <c r="D5" s="235"/>
      <c r="Z5" s="75"/>
      <c r="AA5" s="26"/>
    </row>
    <row r="6" spans="2:27" x14ac:dyDescent="0.35">
      <c r="B6" s="29"/>
      <c r="C6" s="236"/>
      <c r="D6" s="237" t="s">
        <v>136</v>
      </c>
      <c r="E6" s="47"/>
      <c r="F6" s="47"/>
      <c r="G6" s="47"/>
      <c r="H6" s="47"/>
      <c r="I6" s="238"/>
      <c r="K6" s="426" t="s">
        <v>137</v>
      </c>
      <c r="L6" s="427"/>
      <c r="M6" s="428"/>
      <c r="Y6" s="291"/>
      <c r="Z6" s="75"/>
      <c r="AA6" s="26"/>
    </row>
    <row r="7" spans="2:27" x14ac:dyDescent="0.35">
      <c r="B7" s="29"/>
      <c r="C7" s="205"/>
      <c r="D7" s="235"/>
      <c r="E7" s="239" t="s">
        <v>138</v>
      </c>
      <c r="F7" s="239" t="s">
        <v>139</v>
      </c>
      <c r="G7" s="240" t="s">
        <v>140</v>
      </c>
      <c r="H7" s="429" t="s">
        <v>141</v>
      </c>
      <c r="I7" s="430"/>
      <c r="K7" s="431" t="s">
        <v>94</v>
      </c>
      <c r="L7" s="431" t="s">
        <v>142</v>
      </c>
      <c r="M7" s="431" t="s">
        <v>62</v>
      </c>
      <c r="Y7" s="292"/>
      <c r="AA7" s="26"/>
    </row>
    <row r="8" spans="2:27" s="62" customFormat="1" ht="14.9" customHeight="1" x14ac:dyDescent="0.35">
      <c r="B8" s="241"/>
      <c r="C8" s="242"/>
      <c r="D8" s="243" t="s">
        <v>143</v>
      </c>
      <c r="E8" s="244">
        <f>SUM(M31:M405)</f>
        <v>1660</v>
      </c>
      <c r="F8" s="244">
        <f>SUM(M9:M16)</f>
        <v>1660</v>
      </c>
      <c r="G8" s="245">
        <f>E8-F8</f>
        <v>0</v>
      </c>
      <c r="H8" s="433"/>
      <c r="I8" s="434"/>
      <c r="J8" s="1"/>
      <c r="K8" s="432"/>
      <c r="L8" s="432"/>
      <c r="M8" s="432"/>
      <c r="N8" s="1"/>
      <c r="O8" s="1"/>
      <c r="P8" s="1"/>
      <c r="Q8" s="1"/>
      <c r="R8" s="1"/>
      <c r="S8" s="1"/>
      <c r="T8" s="1"/>
      <c r="U8" s="1"/>
      <c r="V8" s="1"/>
      <c r="W8" s="1"/>
      <c r="X8" s="1"/>
      <c r="Y8" s="292"/>
      <c r="AA8" s="246"/>
    </row>
    <row r="9" spans="2:27" x14ac:dyDescent="0.35">
      <c r="B9" s="29"/>
      <c r="C9" s="68"/>
      <c r="D9" s="243" t="s">
        <v>144</v>
      </c>
      <c r="E9" s="247">
        <f>SUMIF(F31:F405,"GDS *",M31:M405)/E8</f>
        <v>0.27108433734939757</v>
      </c>
      <c r="F9" s="247">
        <f>SUM(M14:M16)/F8</f>
        <v>0.27108433734939757</v>
      </c>
      <c r="G9" s="248">
        <f>E9-F9</f>
        <v>0</v>
      </c>
      <c r="H9" s="433"/>
      <c r="I9" s="434"/>
      <c r="K9" s="341" t="s">
        <v>24</v>
      </c>
      <c r="L9" s="342">
        <f>M9/$F$8</f>
        <v>3.0120481927710843E-2</v>
      </c>
      <c r="M9" s="343">
        <f>'Project Plan - Transformative'!H39</f>
        <v>50</v>
      </c>
      <c r="AA9" s="26"/>
    </row>
    <row r="10" spans="2:27" x14ac:dyDescent="0.35">
      <c r="B10" s="29"/>
      <c r="C10" s="68"/>
      <c r="D10" s="251" t="s">
        <v>145</v>
      </c>
      <c r="E10" s="252"/>
      <c r="F10" s="252"/>
      <c r="G10" s="252"/>
      <c r="H10" s="435"/>
      <c r="I10" s="436"/>
      <c r="K10" s="341" t="s">
        <v>25</v>
      </c>
      <c r="L10" s="342">
        <f t="shared" ref="L10:L16" si="0">M10/$F$8</f>
        <v>0.15662650602409639</v>
      </c>
      <c r="M10" s="343">
        <f>'Project Plan - Transformative'!I39+'Project Plan - Transformative'!J39</f>
        <v>260</v>
      </c>
      <c r="AA10" s="26"/>
    </row>
    <row r="11" spans="2:27" x14ac:dyDescent="0.35">
      <c r="B11" s="29"/>
      <c r="C11" s="68"/>
      <c r="D11" s="253" t="s">
        <v>24</v>
      </c>
      <c r="E11" s="247">
        <f>SUMIF($G$31:$G$405,D11,$L$31:$L$405)</f>
        <v>3.0120481927710843E-2</v>
      </c>
      <c r="F11" s="247">
        <f>L9</f>
        <v>3.0120481927710843E-2</v>
      </c>
      <c r="G11" s="248">
        <f t="shared" ref="G11:G16" si="1">E11-F11</f>
        <v>0</v>
      </c>
      <c r="H11" s="433"/>
      <c r="I11" s="434"/>
      <c r="K11" s="341" t="s">
        <v>26</v>
      </c>
      <c r="L11" s="342">
        <f t="shared" si="0"/>
        <v>0.27108433734939757</v>
      </c>
      <c r="M11" s="343">
        <f>'Project Plan - Transformative'!K39</f>
        <v>450</v>
      </c>
      <c r="AA11" s="26"/>
    </row>
    <row r="12" spans="2:27" x14ac:dyDescent="0.35">
      <c r="B12" s="29"/>
      <c r="C12" s="68"/>
      <c r="D12" s="253" t="s">
        <v>109</v>
      </c>
      <c r="E12" s="247">
        <f t="shared" ref="E12:E16" si="2">SUMIF($G$31:$G$405,D12,$L$31:$L$405)</f>
        <v>0</v>
      </c>
      <c r="F12" s="247">
        <f>0%</f>
        <v>0</v>
      </c>
      <c r="G12" s="248">
        <f t="shared" si="1"/>
        <v>0</v>
      </c>
      <c r="H12" s="433"/>
      <c r="I12" s="434"/>
      <c r="K12" s="341" t="s">
        <v>27</v>
      </c>
      <c r="L12" s="342">
        <f t="shared" si="0"/>
        <v>0.27108433734939757</v>
      </c>
      <c r="M12" s="343">
        <f>'Project Plan - Transformative'!L39</f>
        <v>450</v>
      </c>
      <c r="AA12" s="26"/>
    </row>
    <row r="13" spans="2:27" x14ac:dyDescent="0.35">
      <c r="B13" s="29"/>
      <c r="C13" s="68"/>
      <c r="D13" s="253" t="s">
        <v>25</v>
      </c>
      <c r="E13" s="247">
        <f>SUMIF($G$31:$G$405,D13,$L$31:$L$405)</f>
        <v>0.15662650602409639</v>
      </c>
      <c r="F13" s="247">
        <f>L10+L14</f>
        <v>0.15662650602409639</v>
      </c>
      <c r="G13" s="248">
        <f t="shared" si="1"/>
        <v>0</v>
      </c>
      <c r="H13" s="433"/>
      <c r="I13" s="434"/>
      <c r="K13" s="341" t="s">
        <v>28</v>
      </c>
      <c r="L13" s="342">
        <f t="shared" si="0"/>
        <v>0</v>
      </c>
      <c r="M13" s="343">
        <f>'Project Plan - Transformative'!M39</f>
        <v>0</v>
      </c>
      <c r="AA13" s="26"/>
    </row>
    <row r="14" spans="2:27" x14ac:dyDescent="0.35">
      <c r="B14" s="29"/>
      <c r="C14" s="68"/>
      <c r="D14" s="253" t="s">
        <v>26</v>
      </c>
      <c r="E14" s="247">
        <f t="shared" si="2"/>
        <v>0.27108433734939757</v>
      </c>
      <c r="F14" s="247">
        <f>L11+L15</f>
        <v>0.27108433734939757</v>
      </c>
      <c r="G14" s="248">
        <f t="shared" si="1"/>
        <v>0</v>
      </c>
      <c r="H14" s="433"/>
      <c r="I14" s="434"/>
      <c r="K14" s="341" t="s">
        <v>29</v>
      </c>
      <c r="L14" s="342">
        <f t="shared" si="0"/>
        <v>0</v>
      </c>
      <c r="M14" s="343">
        <f>'Project Plan - Transformative'!N39</f>
        <v>0</v>
      </c>
      <c r="N14" s="256"/>
      <c r="O14" s="185"/>
      <c r="AA14" s="26"/>
    </row>
    <row r="15" spans="2:27" x14ac:dyDescent="0.35">
      <c r="B15" s="29"/>
      <c r="C15" s="68"/>
      <c r="D15" s="253" t="s">
        <v>27</v>
      </c>
      <c r="E15" s="247">
        <f t="shared" si="2"/>
        <v>0.54216867469879515</v>
      </c>
      <c r="F15" s="247">
        <f>L12+L16</f>
        <v>0.54216867469879515</v>
      </c>
      <c r="G15" s="248">
        <f t="shared" si="1"/>
        <v>0</v>
      </c>
      <c r="H15" s="433"/>
      <c r="I15" s="434"/>
      <c r="J15" s="254"/>
      <c r="K15" s="341" t="s">
        <v>30</v>
      </c>
      <c r="L15" s="342">
        <f t="shared" si="0"/>
        <v>0</v>
      </c>
      <c r="M15" s="343">
        <f>'Project Plan - Transformative'!O39</f>
        <v>0</v>
      </c>
      <c r="N15" s="256"/>
      <c r="O15" s="185"/>
      <c r="Y15"/>
      <c r="AA15" s="26"/>
    </row>
    <row r="16" spans="2:27" x14ac:dyDescent="0.35">
      <c r="B16" s="29"/>
      <c r="C16" s="68"/>
      <c r="D16" s="253" t="s">
        <v>28</v>
      </c>
      <c r="E16" s="247">
        <f t="shared" si="2"/>
        <v>0</v>
      </c>
      <c r="F16" s="247">
        <f>L13</f>
        <v>0</v>
      </c>
      <c r="G16" s="248">
        <f t="shared" si="1"/>
        <v>0</v>
      </c>
      <c r="H16" s="433"/>
      <c r="I16" s="434"/>
      <c r="J16" s="254"/>
      <c r="K16" s="341" t="s">
        <v>31</v>
      </c>
      <c r="L16" s="342">
        <f t="shared" si="0"/>
        <v>0.27108433734939757</v>
      </c>
      <c r="M16" s="343">
        <f>'Project Plan - Transformative'!P39</f>
        <v>450</v>
      </c>
      <c r="N16" s="185"/>
      <c r="Y16" s="74"/>
      <c r="Z16" s="60"/>
      <c r="AA16" s="26"/>
    </row>
    <row r="17" spans="2:27" x14ac:dyDescent="0.35">
      <c r="B17" s="29"/>
      <c r="C17" s="111"/>
      <c r="D17" s="113"/>
      <c r="E17" s="113"/>
      <c r="F17" s="113"/>
      <c r="G17" s="113"/>
      <c r="H17" s="113"/>
      <c r="I17" s="113"/>
      <c r="J17" s="113"/>
      <c r="K17" s="113"/>
      <c r="L17" s="113"/>
      <c r="M17" s="113"/>
      <c r="N17" s="113"/>
      <c r="O17" s="113"/>
      <c r="P17" s="113"/>
      <c r="Q17" s="113"/>
      <c r="R17" s="113"/>
      <c r="S17" s="113"/>
      <c r="T17" s="113"/>
      <c r="U17" s="113"/>
      <c r="V17" s="113"/>
      <c r="W17" s="113"/>
      <c r="X17" s="114"/>
      <c r="Y17" s="115"/>
      <c r="Z17" s="118"/>
      <c r="AA17" s="26"/>
    </row>
    <row r="18" spans="2:27" x14ac:dyDescent="0.35">
      <c r="B18" s="25"/>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26"/>
    </row>
    <row r="19" spans="2:27" x14ac:dyDescent="0.35">
      <c r="B19" s="29"/>
      <c r="C19" s="437" t="s">
        <v>146</v>
      </c>
      <c r="D19" s="438"/>
      <c r="E19" s="438"/>
      <c r="F19" s="438"/>
      <c r="G19" s="438"/>
      <c r="H19" s="438"/>
      <c r="I19" s="438"/>
      <c r="J19" s="438"/>
      <c r="K19" s="438"/>
      <c r="L19" s="438"/>
      <c r="M19" s="438"/>
      <c r="N19" s="438"/>
      <c r="O19" s="438"/>
      <c r="P19" s="438"/>
      <c r="Q19" s="438"/>
      <c r="R19" s="438"/>
      <c r="S19" s="438"/>
      <c r="T19" s="438"/>
      <c r="U19" s="438"/>
      <c r="V19" s="438"/>
      <c r="W19" s="438"/>
      <c r="X19" s="438"/>
      <c r="Y19" s="438"/>
      <c r="Z19" s="439"/>
      <c r="AA19" s="26"/>
    </row>
    <row r="20" spans="2:27" x14ac:dyDescent="0.35">
      <c r="B20" s="29"/>
      <c r="C20" s="440"/>
      <c r="D20" s="441"/>
      <c r="E20" s="441"/>
      <c r="F20" s="441"/>
      <c r="G20" s="441"/>
      <c r="H20" s="441"/>
      <c r="I20" s="441"/>
      <c r="J20" s="441"/>
      <c r="K20" s="441"/>
      <c r="L20" s="441"/>
      <c r="M20" s="441"/>
      <c r="N20" s="441"/>
      <c r="O20" s="441"/>
      <c r="P20" s="441"/>
      <c r="Q20" s="441"/>
      <c r="R20" s="441"/>
      <c r="S20" s="441"/>
      <c r="T20" s="441"/>
      <c r="U20" s="441"/>
      <c r="V20" s="441"/>
      <c r="W20" s="441"/>
      <c r="X20" s="441"/>
      <c r="Y20" s="441"/>
      <c r="Z20" s="442"/>
      <c r="AA20" s="26"/>
    </row>
    <row r="21" spans="2:27" ht="26.15" customHeight="1" x14ac:dyDescent="0.35">
      <c r="B21" s="29"/>
      <c r="C21" s="443" t="s">
        <v>147</v>
      </c>
      <c r="D21" s="444"/>
      <c r="E21" s="444"/>
      <c r="F21" s="444"/>
      <c r="G21" s="444"/>
      <c r="H21" s="444"/>
      <c r="I21" s="444"/>
      <c r="J21" s="444"/>
      <c r="K21" s="444"/>
      <c r="L21" s="257"/>
      <c r="M21" s="257"/>
      <c r="N21" s="257"/>
      <c r="O21" s="257"/>
      <c r="P21" s="257"/>
      <c r="Q21" s="257"/>
      <c r="R21" s="257"/>
      <c r="S21" s="257"/>
      <c r="T21" s="257"/>
      <c r="U21" s="257"/>
      <c r="V21" s="257"/>
      <c r="W21" s="257"/>
      <c r="X21" s="257"/>
      <c r="Y21" s="257"/>
      <c r="Z21" s="258"/>
      <c r="AA21" s="26"/>
    </row>
    <row r="22" spans="2:27" ht="26.15" customHeight="1" x14ac:dyDescent="0.35">
      <c r="B22" s="29"/>
      <c r="C22" s="445"/>
      <c r="D22" s="446"/>
      <c r="E22" s="446"/>
      <c r="F22" s="446"/>
      <c r="G22" s="446"/>
      <c r="H22" s="446"/>
      <c r="I22" s="446"/>
      <c r="J22" s="446"/>
      <c r="K22" s="446"/>
      <c r="L22" s="255"/>
      <c r="M22" s="255"/>
      <c r="N22" s="255"/>
      <c r="O22" s="255"/>
      <c r="P22" s="255"/>
      <c r="Q22" s="255"/>
      <c r="R22" s="255"/>
      <c r="S22" s="255"/>
      <c r="T22" s="255"/>
      <c r="U22" s="255"/>
      <c r="V22" s="255"/>
      <c r="W22" s="255"/>
      <c r="X22" s="255"/>
      <c r="Y22" s="255"/>
      <c r="Z22" s="259"/>
      <c r="AA22" s="26"/>
    </row>
    <row r="23" spans="2:27" ht="40" customHeight="1" x14ac:dyDescent="0.35">
      <c r="B23" s="29"/>
      <c r="C23" s="260"/>
      <c r="D23" s="394" t="s">
        <v>148</v>
      </c>
      <c r="E23" s="395"/>
      <c r="F23" s="261"/>
      <c r="G23" s="347" t="s">
        <v>149</v>
      </c>
      <c r="H23" s="348"/>
      <c r="I23" s="349" t="s">
        <v>150</v>
      </c>
      <c r="J23" s="349" t="s">
        <v>151</v>
      </c>
      <c r="K23" s="262"/>
      <c r="L23" s="262"/>
      <c r="M23" s="262"/>
      <c r="N23" s="262"/>
      <c r="O23" s="262"/>
      <c r="P23" s="262"/>
      <c r="Q23" s="262"/>
      <c r="R23" s="262"/>
      <c r="S23" s="262"/>
      <c r="T23" s="262"/>
      <c r="U23" s="262"/>
      <c r="V23" s="262"/>
      <c r="W23" s="262"/>
      <c r="X23" s="262"/>
      <c r="Y23" s="262"/>
      <c r="Z23" s="259"/>
      <c r="AA23" s="26"/>
    </row>
    <row r="24" spans="2:27" ht="14.9" customHeight="1" x14ac:dyDescent="0.35">
      <c r="B24" s="29"/>
      <c r="C24" s="263"/>
      <c r="D24" s="264" t="s">
        <v>152</v>
      </c>
      <c r="E24" s="265">
        <v>0.55000000000000004</v>
      </c>
      <c r="F24" s="266"/>
      <c r="G24" s="447" t="s">
        <v>153</v>
      </c>
      <c r="H24" s="448"/>
      <c r="I24" s="267">
        <f>I25/(1-E24)</f>
        <v>345355.55555555556</v>
      </c>
      <c r="J24" s="267">
        <f>J25/(1-E24)</f>
        <v>345355.55555555556</v>
      </c>
      <c r="K24" s="449"/>
      <c r="L24" s="449"/>
      <c r="M24" s="449"/>
      <c r="N24" s="449"/>
      <c r="O24" s="449"/>
      <c r="P24" s="255"/>
      <c r="Q24" s="450"/>
      <c r="R24" s="450"/>
      <c r="S24" s="268"/>
      <c r="T24" s="268"/>
      <c r="U24" s="269"/>
      <c r="V24" s="449"/>
      <c r="W24" s="449"/>
      <c r="X24" s="449"/>
      <c r="Y24" s="449"/>
      <c r="Z24" s="270"/>
      <c r="AA24" s="26"/>
    </row>
    <row r="25" spans="2:27" ht="14.9" customHeight="1" x14ac:dyDescent="0.35">
      <c r="B25" s="29"/>
      <c r="C25" s="263"/>
      <c r="D25" s="264" t="s">
        <v>154</v>
      </c>
      <c r="E25" s="265">
        <v>0.1</v>
      </c>
      <c r="F25" s="266"/>
      <c r="G25" s="451" t="s">
        <v>155</v>
      </c>
      <c r="H25" s="452"/>
      <c r="I25" s="271">
        <f>SUM(K31:K38)</f>
        <v>155410</v>
      </c>
      <c r="J25" s="271">
        <f>'Project Plan - Transformative'!F39</f>
        <v>155410</v>
      </c>
      <c r="K25" s="449"/>
      <c r="L25" s="449"/>
      <c r="M25" s="449"/>
      <c r="N25" s="449"/>
      <c r="O25" s="449"/>
      <c r="P25" s="255"/>
      <c r="Q25" s="453"/>
      <c r="R25" s="453"/>
      <c r="S25" s="272"/>
      <c r="T25" s="273"/>
      <c r="U25" s="273"/>
      <c r="V25" s="454"/>
      <c r="W25" s="454"/>
      <c r="X25" s="454"/>
      <c r="Y25" s="454"/>
      <c r="Z25" s="270"/>
      <c r="AA25" s="26"/>
    </row>
    <row r="26" spans="2:27" ht="14.9" customHeight="1" x14ac:dyDescent="0.35">
      <c r="B26" s="29"/>
      <c r="C26" s="263"/>
      <c r="D26" s="274"/>
      <c r="E26" s="275"/>
      <c r="F26" s="276"/>
      <c r="G26" s="451" t="s">
        <v>156</v>
      </c>
      <c r="H26" s="452"/>
      <c r="I26" s="267">
        <f>I24-I25</f>
        <v>189945.55555555556</v>
      </c>
      <c r="J26" s="267">
        <f>J24-J25</f>
        <v>189945.55555555556</v>
      </c>
      <c r="K26" s="272"/>
      <c r="L26" s="454"/>
      <c r="M26" s="454"/>
      <c r="N26" s="454"/>
      <c r="O26" s="454"/>
      <c r="P26" s="255"/>
      <c r="Q26" s="453"/>
      <c r="R26" s="453"/>
      <c r="S26" s="272"/>
      <c r="T26" s="273"/>
      <c r="U26" s="273"/>
      <c r="V26" s="454"/>
      <c r="W26" s="454"/>
      <c r="X26" s="454"/>
      <c r="Y26" s="454"/>
      <c r="Z26" s="270"/>
      <c r="AA26" s="26"/>
    </row>
    <row r="27" spans="2:27" ht="14.9" customHeight="1" x14ac:dyDescent="0.35">
      <c r="B27" s="29"/>
      <c r="C27" s="263"/>
      <c r="D27" s="390"/>
      <c r="E27" s="390"/>
      <c r="F27" s="455"/>
      <c r="G27" s="451" t="s">
        <v>157</v>
      </c>
      <c r="H27" s="452"/>
      <c r="I27" s="271">
        <f>I24*E25</f>
        <v>34535.555555555555</v>
      </c>
      <c r="J27" s="271">
        <f>I24*E25</f>
        <v>34535.555555555555</v>
      </c>
      <c r="K27" s="273"/>
      <c r="L27" s="454"/>
      <c r="M27" s="454"/>
      <c r="N27" s="454"/>
      <c r="O27" s="454"/>
      <c r="P27" s="255"/>
      <c r="Q27" s="453"/>
      <c r="R27" s="453"/>
      <c r="S27" s="272"/>
      <c r="T27" s="273"/>
      <c r="U27" s="273"/>
      <c r="V27" s="454"/>
      <c r="W27" s="454"/>
      <c r="X27" s="454"/>
      <c r="Y27" s="454"/>
      <c r="Z27" s="270"/>
      <c r="AA27" s="26"/>
    </row>
    <row r="28" spans="2:27" ht="14.9" customHeight="1" x14ac:dyDescent="0.35">
      <c r="B28" s="29"/>
      <c r="C28" s="263"/>
      <c r="D28" s="268"/>
      <c r="E28" s="272"/>
      <c r="F28" s="455"/>
      <c r="G28" s="456" t="s">
        <v>158</v>
      </c>
      <c r="H28" s="457"/>
      <c r="I28" s="277">
        <f>I24+I27</f>
        <v>379891.11111111112</v>
      </c>
      <c r="J28" s="277">
        <f>J24+J27</f>
        <v>379891.11111111112</v>
      </c>
      <c r="K28" s="278"/>
      <c r="L28" s="255"/>
      <c r="M28" s="255"/>
      <c r="N28" s="255"/>
      <c r="O28" s="255"/>
      <c r="P28" s="255"/>
      <c r="Q28" s="453"/>
      <c r="R28" s="453"/>
      <c r="S28" s="272"/>
      <c r="T28" s="273"/>
      <c r="U28" s="273"/>
      <c r="V28" s="454"/>
      <c r="W28" s="454"/>
      <c r="X28" s="454"/>
      <c r="Y28" s="454"/>
      <c r="Z28" s="270"/>
      <c r="AA28" s="26"/>
    </row>
    <row r="29" spans="2:27" x14ac:dyDescent="0.35">
      <c r="B29" s="29"/>
      <c r="C29" s="263"/>
      <c r="D29" s="268"/>
      <c r="E29" s="272"/>
      <c r="F29" s="272"/>
      <c r="G29" s="255"/>
      <c r="H29" s="255"/>
      <c r="I29" s="255"/>
      <c r="J29" s="255"/>
      <c r="K29" s="255"/>
      <c r="L29" s="255"/>
      <c r="M29" s="255"/>
      <c r="N29" s="255"/>
      <c r="O29" s="255"/>
      <c r="P29" s="255"/>
      <c r="Q29" s="279"/>
      <c r="R29" s="255"/>
      <c r="S29" s="255"/>
      <c r="T29" s="255"/>
      <c r="U29" s="255"/>
      <c r="V29" s="255"/>
      <c r="W29" s="255"/>
      <c r="X29" s="255"/>
      <c r="Y29" s="255"/>
      <c r="Z29" s="270"/>
      <c r="AA29" s="26"/>
    </row>
    <row r="30" spans="2:27" s="285" customFormat="1" x14ac:dyDescent="0.35">
      <c r="B30" s="280"/>
      <c r="C30" s="281"/>
      <c r="D30" s="264" t="s">
        <v>93</v>
      </c>
      <c r="E30" s="264" t="s">
        <v>159</v>
      </c>
      <c r="F30" s="264" t="s">
        <v>94</v>
      </c>
      <c r="G30" s="264" t="s">
        <v>160</v>
      </c>
      <c r="H30" s="264" t="s">
        <v>161</v>
      </c>
      <c r="I30" s="264" t="s">
        <v>162</v>
      </c>
      <c r="J30" s="264" t="s">
        <v>163</v>
      </c>
      <c r="K30" s="264" t="s">
        <v>155</v>
      </c>
      <c r="L30" s="264" t="s">
        <v>164</v>
      </c>
      <c r="M30" s="264" t="s">
        <v>143</v>
      </c>
      <c r="N30" s="282" t="s">
        <v>165</v>
      </c>
      <c r="O30" s="282" t="s">
        <v>166</v>
      </c>
      <c r="P30" s="282" t="s">
        <v>167</v>
      </c>
      <c r="Q30" s="282" t="s">
        <v>168</v>
      </c>
      <c r="R30" s="282" t="s">
        <v>169</v>
      </c>
      <c r="S30" s="282" t="s">
        <v>170</v>
      </c>
      <c r="T30" s="282" t="s">
        <v>171</v>
      </c>
      <c r="U30" s="282" t="s">
        <v>172</v>
      </c>
      <c r="V30" s="282" t="s">
        <v>173</v>
      </c>
      <c r="W30" s="282" t="s">
        <v>174</v>
      </c>
      <c r="X30" s="282" t="s">
        <v>177</v>
      </c>
      <c r="Y30" s="282" t="s">
        <v>175</v>
      </c>
      <c r="Z30" s="283"/>
      <c r="AA30" s="284"/>
    </row>
    <row r="31" spans="2:27" x14ac:dyDescent="0.35">
      <c r="B31" s="29"/>
      <c r="C31" s="68"/>
      <c r="D31" s="286" t="s">
        <v>100</v>
      </c>
      <c r="E31" s="286" t="s">
        <v>102</v>
      </c>
      <c r="F31" s="221" t="str">
        <f t="shared" ref="F31:F38" si="3">IF(D31=0,"",VLOOKUP(D31,Resources,2,FALSE))</f>
        <v>Partner 1</v>
      </c>
      <c r="G31" s="221" t="str">
        <f t="shared" ref="G31:G38" si="4">IF(D31=0,"",VLOOKUP(D31,Resources,3,FALSE))</f>
        <v>Partner</v>
      </c>
      <c r="H31" s="221" t="str">
        <f t="shared" ref="H31:H38" si="5">IF(D31=0,"",VLOOKUP(D31,Resources,4,FALSE))</f>
        <v>United States</v>
      </c>
      <c r="I31" s="221" t="str">
        <f t="shared" ref="I31:I38" si="6">IF(D31=0,"",VLOOKUP(D31,Resources,5,FALSE))</f>
        <v>Supply Chain</v>
      </c>
      <c r="J31" s="287">
        <f t="shared" ref="J31:J38" si="7">IF(D31=0,"",VLOOKUP(D31,Resources,6,FALSE))</f>
        <v>617</v>
      </c>
      <c r="K31" s="287">
        <f t="shared" ref="K31:K38" si="8">IF(AND(M31&lt;&gt;"",J31&lt;&gt;""),M31*J31,"")</f>
        <v>30850</v>
      </c>
      <c r="L31" s="288">
        <f t="shared" ref="L31:L36" si="9">M31/(SUM($M$31:$M$38))</f>
        <v>3.0120481927710843E-2</v>
      </c>
      <c r="M31" s="289">
        <f t="shared" ref="M31:M36" si="10">SUM(N31:Y31)</f>
        <v>50</v>
      </c>
      <c r="N31" s="249">
        <v>0</v>
      </c>
      <c r="O31" s="249">
        <v>0</v>
      </c>
      <c r="P31" s="250">
        <v>5</v>
      </c>
      <c r="Q31" s="250">
        <v>5</v>
      </c>
      <c r="R31" s="250">
        <v>5</v>
      </c>
      <c r="S31" s="250">
        <v>5</v>
      </c>
      <c r="T31" s="250">
        <v>5</v>
      </c>
      <c r="U31" s="250">
        <v>5</v>
      </c>
      <c r="V31" s="250">
        <v>5</v>
      </c>
      <c r="W31" s="250">
        <v>5</v>
      </c>
      <c r="X31" s="250">
        <v>5</v>
      </c>
      <c r="Y31" s="250">
        <v>5</v>
      </c>
      <c r="Z31" s="60"/>
      <c r="AA31" s="26"/>
    </row>
    <row r="32" spans="2:27" x14ac:dyDescent="0.35">
      <c r="B32" s="29"/>
      <c r="C32" s="68"/>
      <c r="D32" s="286" t="s">
        <v>103</v>
      </c>
      <c r="E32" s="286" t="s">
        <v>102</v>
      </c>
      <c r="F32" s="221" t="str">
        <f t="shared" si="3"/>
        <v>Senior Manager 1</v>
      </c>
      <c r="G32" s="221" t="str">
        <f t="shared" si="4"/>
        <v>Senior Manager</v>
      </c>
      <c r="H32" s="221" t="str">
        <f t="shared" si="5"/>
        <v>United States</v>
      </c>
      <c r="I32" s="221" t="str">
        <f t="shared" si="6"/>
        <v>Supply Chain</v>
      </c>
      <c r="J32" s="287">
        <f t="shared" si="7"/>
        <v>171</v>
      </c>
      <c r="K32" s="287">
        <f t="shared" si="8"/>
        <v>3420</v>
      </c>
      <c r="L32" s="288">
        <f t="shared" si="9"/>
        <v>1.2048192771084338E-2</v>
      </c>
      <c r="M32" s="289">
        <f t="shared" si="10"/>
        <v>20</v>
      </c>
      <c r="N32" s="249">
        <v>0</v>
      </c>
      <c r="O32" s="249">
        <v>0</v>
      </c>
      <c r="P32" s="250">
        <v>2</v>
      </c>
      <c r="Q32" s="250">
        <v>2</v>
      </c>
      <c r="R32" s="250">
        <v>2</v>
      </c>
      <c r="S32" s="250">
        <v>2</v>
      </c>
      <c r="T32" s="250">
        <v>2</v>
      </c>
      <c r="U32" s="250">
        <v>2</v>
      </c>
      <c r="V32" s="250">
        <v>2</v>
      </c>
      <c r="W32" s="250">
        <v>2</v>
      </c>
      <c r="X32" s="250">
        <v>2</v>
      </c>
      <c r="Y32" s="250">
        <v>2</v>
      </c>
      <c r="Z32" s="60"/>
      <c r="AA32" s="26"/>
    </row>
    <row r="33" spans="2:27" x14ac:dyDescent="0.35">
      <c r="B33" s="29"/>
      <c r="C33" s="68"/>
      <c r="D33" s="286" t="s">
        <v>105</v>
      </c>
      <c r="E33" s="286" t="s">
        <v>102</v>
      </c>
      <c r="F33" s="221" t="str">
        <f t="shared" si="3"/>
        <v>Senior Manager 2</v>
      </c>
      <c r="G33" s="221" t="str">
        <f t="shared" si="4"/>
        <v>Senior Manager</v>
      </c>
      <c r="H33" s="221" t="str">
        <f t="shared" si="5"/>
        <v>United States</v>
      </c>
      <c r="I33" s="221" t="str">
        <f t="shared" si="6"/>
        <v>Supply Chain</v>
      </c>
      <c r="J33" s="287">
        <f t="shared" si="7"/>
        <v>171</v>
      </c>
      <c r="K33" s="287">
        <f t="shared" si="8"/>
        <v>41040</v>
      </c>
      <c r="L33" s="288">
        <f t="shared" si="9"/>
        <v>0.14457831325301204</v>
      </c>
      <c r="M33" s="289">
        <f t="shared" si="10"/>
        <v>240</v>
      </c>
      <c r="N33" s="249">
        <v>0</v>
      </c>
      <c r="O33" s="249">
        <v>0</v>
      </c>
      <c r="P33" s="250">
        <v>24</v>
      </c>
      <c r="Q33" s="250">
        <v>24</v>
      </c>
      <c r="R33" s="250">
        <v>24</v>
      </c>
      <c r="S33" s="250">
        <v>24</v>
      </c>
      <c r="T33" s="250">
        <v>24</v>
      </c>
      <c r="U33" s="250">
        <v>24</v>
      </c>
      <c r="V33" s="250">
        <v>24</v>
      </c>
      <c r="W33" s="250">
        <v>24</v>
      </c>
      <c r="X33" s="250">
        <v>24</v>
      </c>
      <c r="Y33" s="250">
        <v>24</v>
      </c>
      <c r="Z33" s="60"/>
      <c r="AA33" s="26"/>
    </row>
    <row r="34" spans="2:27" x14ac:dyDescent="0.35">
      <c r="B34" s="29"/>
      <c r="C34" s="68"/>
      <c r="D34" s="286" t="s">
        <v>107</v>
      </c>
      <c r="E34" s="286" t="s">
        <v>102</v>
      </c>
      <c r="F34" s="221" t="str">
        <f t="shared" si="3"/>
        <v>Manager 1</v>
      </c>
      <c r="G34" s="221" t="str">
        <f t="shared" si="4"/>
        <v>Manager</v>
      </c>
      <c r="H34" s="221" t="str">
        <f t="shared" si="5"/>
        <v>United States</v>
      </c>
      <c r="I34" s="221" t="str">
        <f t="shared" si="6"/>
        <v>Supply Chain</v>
      </c>
      <c r="J34" s="287">
        <f t="shared" si="7"/>
        <v>98</v>
      </c>
      <c r="K34" s="287">
        <f t="shared" si="8"/>
        <v>44100</v>
      </c>
      <c r="L34" s="288">
        <f t="shared" si="9"/>
        <v>0.27108433734939757</v>
      </c>
      <c r="M34" s="289">
        <f t="shared" si="10"/>
        <v>450</v>
      </c>
      <c r="N34" s="249">
        <v>0</v>
      </c>
      <c r="O34" s="249">
        <v>0</v>
      </c>
      <c r="P34" s="250">
        <v>45</v>
      </c>
      <c r="Q34" s="250">
        <v>45</v>
      </c>
      <c r="R34" s="250">
        <v>45</v>
      </c>
      <c r="S34" s="250">
        <v>45</v>
      </c>
      <c r="T34" s="250">
        <v>45</v>
      </c>
      <c r="U34" s="250">
        <v>45</v>
      </c>
      <c r="V34" s="250">
        <v>45</v>
      </c>
      <c r="W34" s="250">
        <v>45</v>
      </c>
      <c r="X34" s="250">
        <v>45</v>
      </c>
      <c r="Y34" s="250">
        <v>45</v>
      </c>
      <c r="Z34" s="60"/>
      <c r="AA34" s="26"/>
    </row>
    <row r="35" spans="2:27" x14ac:dyDescent="0.35">
      <c r="B35" s="29"/>
      <c r="C35" s="68"/>
      <c r="D35" s="286" t="s">
        <v>110</v>
      </c>
      <c r="E35" s="286" t="s">
        <v>102</v>
      </c>
      <c r="F35" s="221" t="str">
        <f t="shared" si="3"/>
        <v>Senior 1</v>
      </c>
      <c r="G35" s="221" t="str">
        <f t="shared" si="4"/>
        <v>Senior</v>
      </c>
      <c r="H35" s="221" t="str">
        <f t="shared" si="5"/>
        <v>United States</v>
      </c>
      <c r="I35" s="221" t="str">
        <f t="shared" si="6"/>
        <v>Supply Chain</v>
      </c>
      <c r="J35" s="287">
        <f t="shared" si="7"/>
        <v>59</v>
      </c>
      <c r="K35" s="287">
        <f t="shared" si="8"/>
        <v>26550</v>
      </c>
      <c r="L35" s="288">
        <f t="shared" si="9"/>
        <v>0.27108433734939757</v>
      </c>
      <c r="M35" s="289">
        <f t="shared" si="10"/>
        <v>450</v>
      </c>
      <c r="N35" s="249">
        <v>0</v>
      </c>
      <c r="O35" s="249">
        <v>0</v>
      </c>
      <c r="P35" s="250">
        <v>45</v>
      </c>
      <c r="Q35" s="250">
        <v>45</v>
      </c>
      <c r="R35" s="250">
        <v>45</v>
      </c>
      <c r="S35" s="250">
        <v>45</v>
      </c>
      <c r="T35" s="250">
        <v>45</v>
      </c>
      <c r="U35" s="250">
        <v>45</v>
      </c>
      <c r="V35" s="250">
        <v>45</v>
      </c>
      <c r="W35" s="250">
        <v>45</v>
      </c>
      <c r="X35" s="250">
        <v>45</v>
      </c>
      <c r="Y35" s="250">
        <v>45</v>
      </c>
      <c r="Z35" s="60"/>
      <c r="AA35" s="26"/>
    </row>
    <row r="36" spans="2:27" x14ac:dyDescent="0.35">
      <c r="B36" s="29"/>
      <c r="C36" s="68"/>
      <c r="D36" s="286" t="s">
        <v>119</v>
      </c>
      <c r="E36" s="286" t="s">
        <v>102</v>
      </c>
      <c r="F36" s="221" t="str">
        <f t="shared" si="3"/>
        <v>GDS Senior</v>
      </c>
      <c r="G36" s="221" t="str">
        <f t="shared" si="4"/>
        <v>Senior</v>
      </c>
      <c r="H36" s="221" t="str">
        <f t="shared" si="5"/>
        <v>India</v>
      </c>
      <c r="I36" s="221" t="str">
        <f t="shared" si="6"/>
        <v>GDS</v>
      </c>
      <c r="J36" s="287">
        <f t="shared" si="7"/>
        <v>21</v>
      </c>
      <c r="K36" s="287">
        <f t="shared" si="8"/>
        <v>9450</v>
      </c>
      <c r="L36" s="288">
        <f t="shared" si="9"/>
        <v>0.27108433734939757</v>
      </c>
      <c r="M36" s="289">
        <f t="shared" si="10"/>
        <v>450</v>
      </c>
      <c r="N36" s="249">
        <v>0</v>
      </c>
      <c r="O36" s="249">
        <v>0</v>
      </c>
      <c r="P36" s="250">
        <v>45</v>
      </c>
      <c r="Q36" s="250">
        <v>45</v>
      </c>
      <c r="R36" s="250">
        <v>45</v>
      </c>
      <c r="S36" s="250">
        <v>45</v>
      </c>
      <c r="T36" s="250">
        <v>45</v>
      </c>
      <c r="U36" s="250">
        <v>45</v>
      </c>
      <c r="V36" s="250">
        <v>45</v>
      </c>
      <c r="W36" s="250">
        <v>45</v>
      </c>
      <c r="X36" s="250">
        <v>45</v>
      </c>
      <c r="Y36" s="250">
        <v>45</v>
      </c>
      <c r="Z36" s="60"/>
      <c r="AA36" s="26"/>
    </row>
    <row r="37" spans="2:27" x14ac:dyDescent="0.35">
      <c r="B37" s="29"/>
      <c r="C37" s="68"/>
      <c r="D37" s="286"/>
      <c r="E37" s="286"/>
      <c r="F37" s="221" t="str">
        <f t="shared" si="3"/>
        <v/>
      </c>
      <c r="G37" s="221" t="str">
        <f t="shared" si="4"/>
        <v/>
      </c>
      <c r="H37" s="221" t="str">
        <f t="shared" si="5"/>
        <v/>
      </c>
      <c r="I37" s="221" t="str">
        <f t="shared" si="6"/>
        <v/>
      </c>
      <c r="J37" s="287" t="str">
        <f t="shared" si="7"/>
        <v/>
      </c>
      <c r="K37" s="287" t="str">
        <f t="shared" si="8"/>
        <v/>
      </c>
      <c r="L37" s="288"/>
      <c r="M37" s="289"/>
      <c r="N37" s="249"/>
      <c r="O37" s="249"/>
      <c r="P37" s="250"/>
      <c r="Q37" s="249"/>
      <c r="R37" s="249"/>
      <c r="S37" s="249"/>
      <c r="T37" s="249"/>
      <c r="U37" s="249"/>
      <c r="V37" s="249"/>
      <c r="W37" s="249"/>
      <c r="X37" s="249"/>
      <c r="Y37" s="249"/>
      <c r="Z37" s="60"/>
      <c r="AA37" s="26"/>
    </row>
    <row r="38" spans="2:27" x14ac:dyDescent="0.35">
      <c r="B38" s="29"/>
      <c r="C38" s="68"/>
      <c r="D38" s="286"/>
      <c r="E38" s="286"/>
      <c r="F38" s="221" t="str">
        <f t="shared" si="3"/>
        <v/>
      </c>
      <c r="G38" s="221" t="str">
        <f t="shared" si="4"/>
        <v/>
      </c>
      <c r="H38" s="221" t="str">
        <f t="shared" si="5"/>
        <v/>
      </c>
      <c r="I38" s="221" t="str">
        <f t="shared" si="6"/>
        <v/>
      </c>
      <c r="J38" s="287" t="str">
        <f t="shared" si="7"/>
        <v/>
      </c>
      <c r="K38" s="287" t="str">
        <f t="shared" si="8"/>
        <v/>
      </c>
      <c r="L38" s="288"/>
      <c r="M38" s="289" t="str">
        <f>IF(SUM(N38:Y38)=0,"",SUM(N38:Y38))</f>
        <v/>
      </c>
      <c r="N38" s="249"/>
      <c r="O38" s="249"/>
      <c r="P38" s="249"/>
      <c r="Q38" s="249"/>
      <c r="R38" s="249"/>
      <c r="S38" s="249"/>
      <c r="T38" s="249"/>
      <c r="U38" s="249"/>
      <c r="V38" s="249"/>
      <c r="W38" s="249"/>
      <c r="X38" s="249"/>
      <c r="Y38" s="249"/>
      <c r="Z38" s="60"/>
      <c r="AA38" s="26"/>
    </row>
    <row r="39" spans="2:27" x14ac:dyDescent="0.35">
      <c r="B39" s="29"/>
      <c r="C39" s="111"/>
      <c r="D39" s="113"/>
      <c r="E39" s="113"/>
      <c r="F39" s="113"/>
      <c r="G39" s="113"/>
      <c r="H39" s="113"/>
      <c r="I39" s="113"/>
      <c r="J39" s="113"/>
      <c r="K39" s="113"/>
      <c r="L39" s="113"/>
      <c r="M39" s="113"/>
      <c r="N39" s="113"/>
      <c r="O39" s="113"/>
      <c r="P39" s="113"/>
      <c r="Q39" s="113"/>
      <c r="R39" s="113"/>
      <c r="S39" s="113"/>
      <c r="T39" s="113"/>
      <c r="U39" s="113"/>
      <c r="V39" s="113"/>
      <c r="W39" s="113"/>
      <c r="X39" s="114"/>
      <c r="Y39" s="114"/>
      <c r="Z39" s="118"/>
      <c r="AA39" s="26"/>
    </row>
    <row r="40" spans="2:27" x14ac:dyDescent="0.35">
      <c r="B40" s="25"/>
      <c r="C40" s="152"/>
      <c r="D40" s="152"/>
      <c r="E40" s="152"/>
      <c r="F40" s="152"/>
      <c r="G40" s="152"/>
      <c r="H40" s="152"/>
      <c r="I40" s="152"/>
      <c r="J40" s="152"/>
      <c r="K40" s="152"/>
      <c r="L40" s="152"/>
      <c r="M40" s="152"/>
      <c r="N40" s="152"/>
      <c r="O40" s="152"/>
      <c r="P40" s="152"/>
      <c r="Q40" s="152"/>
      <c r="R40" s="152"/>
      <c r="S40" s="152"/>
      <c r="T40" s="152"/>
      <c r="U40" s="152"/>
      <c r="V40" s="152"/>
      <c r="W40" s="152"/>
      <c r="X40" s="152"/>
      <c r="Y40" s="152"/>
      <c r="Z40" s="152"/>
      <c r="AA40" s="26"/>
    </row>
    <row r="41" spans="2:27" x14ac:dyDescent="0.35">
      <c r="B41" s="25"/>
      <c r="C41" s="290"/>
      <c r="D41" s="290"/>
      <c r="E41" s="290"/>
      <c r="F41" s="290"/>
      <c r="G41" s="290"/>
      <c r="H41" s="290"/>
      <c r="I41" s="290"/>
      <c r="J41" s="290"/>
      <c r="K41" s="290"/>
      <c r="L41" s="290"/>
      <c r="M41" s="290"/>
      <c r="N41" s="290"/>
      <c r="O41" s="290"/>
      <c r="P41" s="290"/>
      <c r="Q41" s="290"/>
      <c r="R41" s="290"/>
      <c r="S41" s="290"/>
      <c r="T41" s="290"/>
      <c r="U41" s="290"/>
      <c r="V41" s="290"/>
      <c r="W41" s="290"/>
      <c r="X41" s="290"/>
      <c r="Y41" s="290"/>
      <c r="Z41" s="290"/>
      <c r="AA41" s="26"/>
    </row>
    <row r="42" spans="2:27" x14ac:dyDescent="0.35">
      <c r="B42" s="25"/>
      <c r="C42" s="290"/>
      <c r="D42" s="290"/>
      <c r="E42" s="290"/>
      <c r="F42" s="290"/>
      <c r="G42" s="290"/>
      <c r="H42" s="290"/>
      <c r="I42" s="290"/>
      <c r="J42" s="290"/>
      <c r="K42" s="290"/>
      <c r="L42" s="290"/>
      <c r="M42" s="290"/>
      <c r="N42" s="290"/>
      <c r="O42" s="290"/>
      <c r="P42" s="290"/>
      <c r="Q42" s="290"/>
      <c r="R42" s="290"/>
      <c r="S42" s="290"/>
      <c r="T42" s="290"/>
      <c r="U42" s="290"/>
      <c r="V42" s="290"/>
      <c r="W42" s="290"/>
      <c r="X42" s="290"/>
      <c r="Y42" s="290"/>
      <c r="Z42" s="290"/>
      <c r="AA42" s="26"/>
    </row>
    <row r="43" spans="2:27" x14ac:dyDescent="0.35">
      <c r="B43" s="25"/>
      <c r="C43" s="290"/>
      <c r="D43" s="290"/>
      <c r="E43" s="290"/>
      <c r="F43" s="290"/>
      <c r="G43" s="290"/>
      <c r="H43" s="290"/>
      <c r="I43" s="290"/>
      <c r="J43" s="290"/>
      <c r="K43" s="290"/>
      <c r="L43" s="290"/>
      <c r="M43" s="290"/>
      <c r="N43" s="290"/>
      <c r="O43" s="290"/>
      <c r="P43" s="290"/>
      <c r="Q43" s="290"/>
      <c r="R43" s="290"/>
      <c r="S43" s="290"/>
      <c r="T43" s="290"/>
      <c r="U43" s="290"/>
      <c r="V43" s="290"/>
      <c r="W43" s="290"/>
      <c r="X43" s="290"/>
      <c r="Y43" s="290"/>
      <c r="Z43" s="290"/>
      <c r="AA43" s="26"/>
    </row>
    <row r="44" spans="2:27" x14ac:dyDescent="0.35">
      <c r="B44" s="25"/>
      <c r="C44" s="290"/>
      <c r="D44" s="290"/>
      <c r="E44" s="290"/>
      <c r="F44" s="290"/>
      <c r="G44" s="290"/>
      <c r="H44" s="290"/>
      <c r="I44" s="290"/>
      <c r="J44" s="290"/>
      <c r="K44" s="290"/>
      <c r="L44" s="290"/>
      <c r="M44" s="290"/>
      <c r="N44" s="290"/>
      <c r="O44" s="290"/>
      <c r="P44" s="290"/>
      <c r="Q44" s="290"/>
      <c r="R44" s="290"/>
      <c r="S44" s="290"/>
      <c r="T44" s="290"/>
      <c r="U44" s="290"/>
      <c r="V44" s="290"/>
      <c r="W44" s="290"/>
      <c r="X44" s="290"/>
      <c r="Y44" s="290"/>
      <c r="Z44" s="290"/>
      <c r="AA44" s="26"/>
    </row>
    <row r="45" spans="2:27" x14ac:dyDescent="0.35">
      <c r="B45" s="25"/>
      <c r="C45" s="290"/>
      <c r="D45" s="290"/>
      <c r="E45" s="290"/>
      <c r="F45" s="290"/>
      <c r="G45" s="290"/>
      <c r="H45" s="290"/>
      <c r="I45" s="290"/>
      <c r="J45" s="290"/>
      <c r="K45" s="290"/>
      <c r="L45" s="290"/>
      <c r="M45" s="290"/>
      <c r="N45" s="290"/>
      <c r="O45" s="290"/>
      <c r="P45" s="290"/>
      <c r="Q45" s="290"/>
      <c r="R45" s="290"/>
      <c r="S45" s="290"/>
      <c r="T45" s="290"/>
      <c r="U45" s="290"/>
      <c r="V45" s="290"/>
      <c r="W45" s="290"/>
      <c r="X45" s="290"/>
      <c r="Y45" s="290"/>
      <c r="Z45" s="290"/>
      <c r="AA45" s="26"/>
    </row>
    <row r="46" spans="2:27" x14ac:dyDescent="0.35">
      <c r="B46" s="25"/>
      <c r="C46" s="290"/>
      <c r="D46" s="290"/>
      <c r="E46" s="290"/>
      <c r="F46" s="290"/>
      <c r="G46" s="290"/>
      <c r="H46" s="290"/>
      <c r="I46" s="290"/>
      <c r="J46" s="290"/>
      <c r="K46" s="290"/>
      <c r="L46" s="290"/>
      <c r="M46" s="290"/>
      <c r="N46" s="290"/>
      <c r="O46" s="290"/>
      <c r="P46" s="290"/>
      <c r="Q46" s="290"/>
      <c r="R46" s="290"/>
      <c r="S46" s="290"/>
      <c r="T46" s="290"/>
      <c r="U46" s="290"/>
      <c r="V46" s="290"/>
      <c r="W46" s="290"/>
      <c r="X46" s="290"/>
      <c r="Y46" s="290"/>
      <c r="Z46" s="290"/>
      <c r="AA46" s="26"/>
    </row>
    <row r="47" spans="2:27" x14ac:dyDescent="0.35">
      <c r="B47" s="25"/>
      <c r="C47" s="290"/>
      <c r="D47" s="290"/>
      <c r="E47" s="290"/>
      <c r="F47" s="290"/>
      <c r="G47" s="290"/>
      <c r="H47" s="290"/>
      <c r="I47" s="290"/>
      <c r="J47" s="290"/>
      <c r="K47" s="290"/>
      <c r="L47" s="290"/>
      <c r="M47" s="290"/>
      <c r="N47" s="290"/>
      <c r="O47" s="290"/>
      <c r="P47" s="290"/>
      <c r="Q47" s="290"/>
      <c r="R47" s="290"/>
      <c r="S47" s="290"/>
      <c r="T47" s="290"/>
      <c r="U47" s="290"/>
      <c r="V47" s="290"/>
      <c r="W47" s="290"/>
      <c r="X47" s="290"/>
      <c r="Y47" s="290"/>
      <c r="Z47" s="290"/>
      <c r="AA47" s="26"/>
    </row>
    <row r="48" spans="2:27" x14ac:dyDescent="0.35">
      <c r="B48" s="25"/>
      <c r="C48" s="290"/>
      <c r="D48" s="290"/>
      <c r="E48" s="290"/>
      <c r="F48" s="290"/>
      <c r="G48" s="290"/>
      <c r="H48" s="290"/>
      <c r="I48" s="290"/>
      <c r="J48" s="290"/>
      <c r="K48" s="290"/>
      <c r="L48" s="290"/>
      <c r="M48" s="290"/>
      <c r="N48" s="290"/>
      <c r="O48" s="290"/>
      <c r="P48" s="290"/>
      <c r="Q48" s="290"/>
      <c r="R48" s="290"/>
      <c r="S48" s="290"/>
      <c r="T48" s="290"/>
      <c r="U48" s="290"/>
      <c r="V48" s="290"/>
      <c r="W48" s="290"/>
      <c r="X48" s="290"/>
      <c r="Y48" s="290"/>
      <c r="Z48" s="290"/>
      <c r="AA48" s="26"/>
    </row>
    <row r="49" spans="2:27" x14ac:dyDescent="0.35">
      <c r="B49" s="25"/>
      <c r="C49" s="290"/>
      <c r="D49" s="290"/>
      <c r="E49" s="290"/>
      <c r="F49" s="290"/>
      <c r="G49" s="290"/>
      <c r="H49" s="290"/>
      <c r="I49" s="290"/>
      <c r="J49" s="290"/>
      <c r="K49" s="290"/>
      <c r="L49" s="290"/>
      <c r="M49" s="290"/>
      <c r="N49" s="290"/>
      <c r="O49" s="290"/>
      <c r="P49" s="290"/>
      <c r="Q49" s="290"/>
      <c r="R49" s="290"/>
      <c r="S49" s="290"/>
      <c r="T49" s="290"/>
      <c r="U49" s="290"/>
      <c r="V49" s="290"/>
      <c r="W49" s="290"/>
      <c r="X49" s="290"/>
      <c r="Y49" s="290"/>
      <c r="Z49" s="290"/>
      <c r="AA49" s="26"/>
    </row>
    <row r="50" spans="2:27" x14ac:dyDescent="0.35">
      <c r="B50" s="25"/>
      <c r="C50" s="290"/>
      <c r="D50" s="290"/>
      <c r="E50" s="290"/>
      <c r="F50" s="290"/>
      <c r="G50" s="290"/>
      <c r="H50" s="290"/>
      <c r="I50" s="290"/>
      <c r="J50" s="290"/>
      <c r="K50" s="290"/>
      <c r="L50" s="290"/>
      <c r="M50" s="290"/>
      <c r="N50" s="290"/>
      <c r="O50" s="290"/>
      <c r="P50" s="290"/>
      <c r="Q50" s="290"/>
      <c r="R50" s="290"/>
      <c r="S50" s="290"/>
      <c r="T50" s="290"/>
      <c r="U50" s="290"/>
      <c r="V50" s="290"/>
      <c r="W50" s="290"/>
      <c r="X50" s="290"/>
      <c r="Y50" s="290"/>
      <c r="Z50" s="290"/>
      <c r="AA50" s="26"/>
    </row>
    <row r="51" spans="2:27" x14ac:dyDescent="0.35">
      <c r="B51" s="25"/>
      <c r="C51" s="290"/>
      <c r="D51" s="290"/>
      <c r="E51" s="290"/>
      <c r="F51" s="290"/>
      <c r="G51" s="290"/>
      <c r="H51" s="290"/>
      <c r="I51" s="290"/>
      <c r="J51" s="290"/>
      <c r="K51" s="290"/>
      <c r="L51" s="290"/>
      <c r="M51" s="290"/>
      <c r="N51" s="290"/>
      <c r="O51" s="290"/>
      <c r="P51" s="290"/>
      <c r="Q51" s="290"/>
      <c r="R51" s="290"/>
      <c r="S51" s="290"/>
      <c r="T51" s="290"/>
      <c r="U51" s="290"/>
      <c r="V51" s="290"/>
      <c r="W51" s="290"/>
      <c r="X51" s="290"/>
      <c r="Y51" s="290"/>
      <c r="Z51" s="290"/>
      <c r="AA51" s="26"/>
    </row>
    <row r="52" spans="2:27" x14ac:dyDescent="0.35">
      <c r="B52" s="25"/>
      <c r="C52" s="290"/>
      <c r="D52" s="290"/>
      <c r="E52" s="290"/>
      <c r="F52" s="290"/>
      <c r="G52" s="290"/>
      <c r="H52" s="290"/>
      <c r="I52" s="290"/>
      <c r="J52" s="290"/>
      <c r="K52" s="290"/>
      <c r="L52" s="290"/>
      <c r="M52" s="290"/>
      <c r="N52" s="290"/>
      <c r="O52" s="290"/>
      <c r="P52" s="290"/>
      <c r="Q52" s="290"/>
      <c r="R52" s="290"/>
      <c r="S52" s="290"/>
      <c r="T52" s="290"/>
      <c r="U52" s="290"/>
      <c r="V52" s="290"/>
      <c r="W52" s="290"/>
      <c r="X52" s="290"/>
      <c r="Y52" s="290"/>
      <c r="Z52" s="290"/>
      <c r="AA52" s="26"/>
    </row>
    <row r="53" spans="2:27" x14ac:dyDescent="0.35">
      <c r="B53" s="25"/>
      <c r="C53" s="290"/>
      <c r="D53" s="290"/>
      <c r="E53" s="290"/>
      <c r="F53" s="290"/>
      <c r="G53" s="290"/>
      <c r="H53" s="290"/>
      <c r="I53" s="290"/>
      <c r="J53" s="290"/>
      <c r="K53" s="290"/>
      <c r="L53" s="290"/>
      <c r="M53" s="290"/>
      <c r="N53" s="290"/>
      <c r="O53" s="290"/>
      <c r="P53" s="290"/>
      <c r="Q53" s="290"/>
      <c r="R53" s="290"/>
      <c r="S53" s="290"/>
      <c r="T53" s="290"/>
      <c r="U53" s="290"/>
      <c r="V53" s="290"/>
      <c r="W53" s="290"/>
      <c r="X53" s="290"/>
      <c r="Y53" s="290"/>
      <c r="Z53" s="290"/>
      <c r="AA53" s="26"/>
    </row>
    <row r="54" spans="2:27" x14ac:dyDescent="0.35">
      <c r="B54" s="25"/>
      <c r="C54" s="290"/>
      <c r="D54" s="290"/>
      <c r="E54" s="290"/>
      <c r="F54" s="290"/>
      <c r="G54" s="290"/>
      <c r="H54" s="290"/>
      <c r="I54" s="290"/>
      <c r="J54" s="290"/>
      <c r="K54" s="290"/>
      <c r="L54" s="290"/>
      <c r="M54" s="290"/>
      <c r="N54" s="290"/>
      <c r="O54" s="290"/>
      <c r="P54" s="290"/>
      <c r="Q54" s="290"/>
      <c r="R54" s="290"/>
      <c r="S54" s="290"/>
      <c r="T54" s="290"/>
      <c r="U54" s="290"/>
      <c r="V54" s="290"/>
      <c r="W54" s="290"/>
      <c r="X54" s="290"/>
      <c r="Y54" s="290"/>
      <c r="Z54" s="290"/>
      <c r="AA54" s="26"/>
    </row>
    <row r="55" spans="2:27" x14ac:dyDescent="0.35">
      <c r="B55" s="25"/>
      <c r="C55" s="290"/>
      <c r="D55" s="290"/>
      <c r="E55" s="290"/>
      <c r="F55" s="290"/>
      <c r="G55" s="290"/>
      <c r="H55" s="290"/>
      <c r="I55" s="290"/>
      <c r="J55" s="290"/>
      <c r="K55" s="290"/>
      <c r="L55" s="290"/>
      <c r="M55" s="290"/>
      <c r="N55" s="290"/>
      <c r="O55" s="290"/>
      <c r="P55" s="290"/>
      <c r="Q55" s="290"/>
      <c r="R55" s="290"/>
      <c r="S55" s="290"/>
      <c r="T55" s="290"/>
      <c r="U55" s="290"/>
      <c r="V55" s="290"/>
      <c r="W55" s="290"/>
      <c r="X55" s="290"/>
      <c r="Y55" s="290"/>
      <c r="Z55" s="290"/>
      <c r="AA55" s="26"/>
    </row>
    <row r="56" spans="2:27" x14ac:dyDescent="0.35">
      <c r="B56" s="25"/>
      <c r="C56" s="290"/>
      <c r="D56" s="290"/>
      <c r="E56" s="290"/>
      <c r="F56" s="290"/>
      <c r="G56" s="290"/>
      <c r="H56" s="290"/>
      <c r="I56" s="290"/>
      <c r="J56" s="290"/>
      <c r="K56" s="290"/>
      <c r="L56" s="290"/>
      <c r="M56" s="290"/>
      <c r="N56" s="290"/>
      <c r="O56" s="290"/>
      <c r="P56" s="290"/>
      <c r="Q56" s="290"/>
      <c r="R56" s="290"/>
      <c r="S56" s="290"/>
      <c r="T56" s="290"/>
      <c r="U56" s="290"/>
      <c r="V56" s="290"/>
      <c r="W56" s="290"/>
      <c r="X56" s="290"/>
      <c r="Y56" s="290"/>
      <c r="Z56" s="290"/>
      <c r="AA56" s="26"/>
    </row>
    <row r="57" spans="2:27" x14ac:dyDescent="0.35">
      <c r="B57" s="25"/>
      <c r="C57" s="290"/>
      <c r="D57" s="290"/>
      <c r="E57" s="290"/>
      <c r="F57" s="290"/>
      <c r="G57" s="290"/>
      <c r="H57" s="290"/>
      <c r="I57" s="290"/>
      <c r="J57" s="290"/>
      <c r="K57" s="290"/>
      <c r="L57" s="290"/>
      <c r="M57" s="290"/>
      <c r="N57" s="290"/>
      <c r="O57" s="290"/>
      <c r="P57" s="290"/>
      <c r="Q57" s="290"/>
      <c r="R57" s="290"/>
      <c r="S57" s="290"/>
      <c r="T57" s="290"/>
      <c r="U57" s="290"/>
      <c r="V57" s="290"/>
      <c r="W57" s="290"/>
      <c r="X57" s="290"/>
      <c r="Y57" s="290"/>
      <c r="Z57" s="290"/>
      <c r="AA57" s="26"/>
    </row>
    <row r="58" spans="2:27" x14ac:dyDescent="0.35">
      <c r="B58" s="25"/>
      <c r="C58" s="290"/>
      <c r="D58" s="290"/>
      <c r="E58" s="290"/>
      <c r="F58" s="290"/>
      <c r="G58" s="290"/>
      <c r="H58" s="290"/>
      <c r="I58" s="290"/>
      <c r="J58" s="290"/>
      <c r="K58" s="290"/>
      <c r="L58" s="290"/>
      <c r="M58" s="290"/>
      <c r="N58" s="290"/>
      <c r="O58" s="290"/>
      <c r="P58" s="290"/>
      <c r="Q58" s="290"/>
      <c r="R58" s="290"/>
      <c r="S58" s="290"/>
      <c r="T58" s="290"/>
      <c r="U58" s="290"/>
      <c r="V58" s="290"/>
      <c r="W58" s="290"/>
      <c r="X58" s="290"/>
      <c r="Y58" s="290"/>
      <c r="Z58" s="290"/>
      <c r="AA58" s="26"/>
    </row>
    <row r="59" spans="2:27" x14ac:dyDescent="0.35">
      <c r="B59" s="25"/>
      <c r="C59" s="290"/>
      <c r="D59" s="290"/>
      <c r="E59" s="290"/>
      <c r="F59" s="290"/>
      <c r="G59" s="290"/>
      <c r="H59" s="290"/>
      <c r="I59" s="290"/>
      <c r="J59" s="290"/>
      <c r="K59" s="290"/>
      <c r="L59" s="290"/>
      <c r="M59" s="290"/>
      <c r="N59" s="290"/>
      <c r="O59" s="290"/>
      <c r="P59" s="290"/>
      <c r="Q59" s="290"/>
      <c r="R59" s="290"/>
      <c r="S59" s="290"/>
      <c r="T59" s="290"/>
      <c r="U59" s="290"/>
      <c r="V59" s="290"/>
      <c r="W59" s="290"/>
      <c r="X59" s="290"/>
      <c r="Y59" s="290"/>
      <c r="Z59" s="290"/>
      <c r="AA59" s="26"/>
    </row>
    <row r="60" spans="2:27" x14ac:dyDescent="0.35">
      <c r="B60" s="25"/>
      <c r="C60" s="290"/>
      <c r="D60" s="290"/>
      <c r="E60" s="290"/>
      <c r="F60" s="290"/>
      <c r="G60" s="290"/>
      <c r="H60" s="290"/>
      <c r="I60" s="290"/>
      <c r="J60" s="290"/>
      <c r="K60" s="290"/>
      <c r="L60" s="290"/>
      <c r="M60" s="290"/>
      <c r="N60" s="290"/>
      <c r="O60" s="290"/>
      <c r="P60" s="290"/>
      <c r="Q60" s="290"/>
      <c r="R60" s="290"/>
      <c r="S60" s="290"/>
      <c r="T60" s="290"/>
      <c r="U60" s="290"/>
      <c r="V60" s="290"/>
      <c r="W60" s="290"/>
      <c r="X60" s="290"/>
      <c r="Y60" s="290"/>
      <c r="Z60" s="290"/>
      <c r="AA60" s="26"/>
    </row>
    <row r="61" spans="2:27" x14ac:dyDescent="0.35">
      <c r="B61" s="25"/>
      <c r="C61" s="290"/>
      <c r="D61" s="290"/>
      <c r="E61" s="290"/>
      <c r="F61" s="290"/>
      <c r="G61" s="290"/>
      <c r="H61" s="290"/>
      <c r="I61" s="290"/>
      <c r="J61" s="290"/>
      <c r="K61" s="290"/>
      <c r="L61" s="290"/>
      <c r="M61" s="290"/>
      <c r="N61" s="290"/>
      <c r="O61" s="290"/>
      <c r="P61" s="290"/>
      <c r="Q61" s="290"/>
      <c r="R61" s="290"/>
      <c r="S61" s="290"/>
      <c r="T61" s="290"/>
      <c r="U61" s="290"/>
      <c r="V61" s="290"/>
      <c r="W61" s="290"/>
      <c r="X61" s="290"/>
      <c r="Y61" s="290"/>
      <c r="Z61" s="290"/>
      <c r="AA61" s="26"/>
    </row>
    <row r="62" spans="2:27" x14ac:dyDescent="0.35">
      <c r="B62" s="25"/>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90"/>
      <c r="AA62" s="26"/>
    </row>
    <row r="63" spans="2:27" x14ac:dyDescent="0.35">
      <c r="B63" s="25"/>
      <c r="C63" s="290"/>
      <c r="D63" s="290"/>
      <c r="E63" s="290"/>
      <c r="F63" s="290"/>
      <c r="G63" s="290"/>
      <c r="H63" s="290"/>
      <c r="I63" s="290"/>
      <c r="J63" s="290"/>
      <c r="K63" s="290"/>
      <c r="L63" s="290"/>
      <c r="M63" s="290"/>
      <c r="N63" s="290"/>
      <c r="O63" s="290"/>
      <c r="P63" s="290"/>
      <c r="Q63" s="290"/>
      <c r="R63" s="290"/>
      <c r="S63" s="290"/>
      <c r="T63" s="290"/>
      <c r="U63" s="290"/>
      <c r="V63" s="290"/>
      <c r="W63" s="290"/>
      <c r="X63" s="290"/>
      <c r="Y63" s="290"/>
      <c r="Z63" s="290"/>
      <c r="AA63" s="26"/>
    </row>
    <row r="64" spans="2:27" x14ac:dyDescent="0.35">
      <c r="B64" s="25"/>
      <c r="C64" s="290"/>
      <c r="D64" s="290"/>
      <c r="E64" s="290"/>
      <c r="F64" s="290"/>
      <c r="G64" s="290"/>
      <c r="H64" s="290"/>
      <c r="I64" s="290"/>
      <c r="J64" s="290"/>
      <c r="K64" s="290"/>
      <c r="L64" s="290"/>
      <c r="M64" s="290"/>
      <c r="N64" s="290"/>
      <c r="O64" s="290"/>
      <c r="P64" s="290"/>
      <c r="Q64" s="290"/>
      <c r="R64" s="290"/>
      <c r="S64" s="290"/>
      <c r="T64" s="290"/>
      <c r="U64" s="290"/>
      <c r="V64" s="290"/>
      <c r="W64" s="290"/>
      <c r="X64" s="290"/>
      <c r="Y64" s="290"/>
      <c r="Z64" s="290"/>
      <c r="AA64" s="26"/>
    </row>
    <row r="65" spans="2:27" x14ac:dyDescent="0.35">
      <c r="B65" s="25"/>
      <c r="C65" s="290"/>
      <c r="D65" s="290"/>
      <c r="E65" s="290"/>
      <c r="F65" s="290"/>
      <c r="G65" s="290"/>
      <c r="H65" s="290"/>
      <c r="I65" s="290"/>
      <c r="J65" s="290"/>
      <c r="K65" s="290"/>
      <c r="L65" s="290"/>
      <c r="M65" s="290"/>
      <c r="N65" s="290"/>
      <c r="O65" s="290"/>
      <c r="P65" s="290"/>
      <c r="Q65" s="290"/>
      <c r="R65" s="290"/>
      <c r="S65" s="290"/>
      <c r="T65" s="290"/>
      <c r="U65" s="290"/>
      <c r="V65" s="290"/>
      <c r="W65" s="290"/>
      <c r="X65" s="290"/>
      <c r="Y65" s="290"/>
      <c r="Z65" s="290"/>
      <c r="AA65" s="26"/>
    </row>
    <row r="66" spans="2:27" x14ac:dyDescent="0.35">
      <c r="B66" s="25"/>
      <c r="C66" s="290"/>
      <c r="D66" s="290"/>
      <c r="E66" s="290"/>
      <c r="F66" s="290"/>
      <c r="G66" s="290"/>
      <c r="H66" s="290"/>
      <c r="I66" s="290"/>
      <c r="J66" s="290"/>
      <c r="K66" s="290"/>
      <c r="L66" s="290"/>
      <c r="M66" s="290"/>
      <c r="N66" s="290"/>
      <c r="O66" s="290"/>
      <c r="P66" s="290"/>
      <c r="Q66" s="290"/>
      <c r="R66" s="290"/>
      <c r="S66" s="290"/>
      <c r="T66" s="290"/>
      <c r="U66" s="290"/>
      <c r="V66" s="290"/>
      <c r="W66" s="290"/>
      <c r="X66" s="290"/>
      <c r="Y66" s="290"/>
      <c r="Z66" s="290"/>
      <c r="AA66" s="26"/>
    </row>
    <row r="67" spans="2:27" x14ac:dyDescent="0.35">
      <c r="B67" s="25"/>
      <c r="C67" s="290"/>
      <c r="D67" s="290"/>
      <c r="E67" s="290"/>
      <c r="F67" s="290"/>
      <c r="G67" s="290"/>
      <c r="H67" s="290"/>
      <c r="I67" s="290"/>
      <c r="J67" s="290"/>
      <c r="K67" s="290"/>
      <c r="L67" s="290"/>
      <c r="M67" s="290"/>
      <c r="N67" s="290"/>
      <c r="O67" s="290"/>
      <c r="P67" s="290"/>
      <c r="Q67" s="290"/>
      <c r="R67" s="290"/>
      <c r="S67" s="290"/>
      <c r="T67" s="290"/>
      <c r="U67" s="290"/>
      <c r="V67" s="290"/>
      <c r="W67" s="290"/>
      <c r="X67" s="290"/>
      <c r="Y67" s="290"/>
      <c r="Z67" s="290"/>
      <c r="AA67" s="26"/>
    </row>
    <row r="68" spans="2:27" x14ac:dyDescent="0.35">
      <c r="B68" s="25"/>
      <c r="C68" s="290"/>
      <c r="D68" s="290"/>
      <c r="E68" s="290"/>
      <c r="F68" s="290"/>
      <c r="G68" s="290"/>
      <c r="H68" s="290"/>
      <c r="I68" s="290"/>
      <c r="J68" s="290"/>
      <c r="K68" s="290"/>
      <c r="L68" s="290"/>
      <c r="M68" s="290"/>
      <c r="N68" s="290"/>
      <c r="O68" s="290"/>
      <c r="P68" s="290"/>
      <c r="Q68" s="290"/>
      <c r="R68" s="290"/>
      <c r="S68" s="290"/>
      <c r="T68" s="290"/>
      <c r="U68" s="290"/>
      <c r="V68" s="290"/>
      <c r="W68" s="290"/>
      <c r="X68" s="290"/>
      <c r="Y68" s="290"/>
      <c r="Z68" s="290"/>
      <c r="AA68" s="26"/>
    </row>
    <row r="69" spans="2:27" x14ac:dyDescent="0.35">
      <c r="B69" s="25"/>
      <c r="C69" s="290"/>
      <c r="D69" s="290"/>
      <c r="E69" s="290"/>
      <c r="F69" s="290"/>
      <c r="G69" s="290"/>
      <c r="H69" s="290"/>
      <c r="I69" s="290"/>
      <c r="J69" s="290"/>
      <c r="K69" s="290"/>
      <c r="L69" s="290"/>
      <c r="M69" s="290"/>
      <c r="N69" s="290"/>
      <c r="O69" s="290"/>
      <c r="P69" s="290"/>
      <c r="Q69" s="290"/>
      <c r="R69" s="290"/>
      <c r="S69" s="290"/>
      <c r="T69" s="290"/>
      <c r="U69" s="290"/>
      <c r="V69" s="290"/>
      <c r="W69" s="290"/>
      <c r="X69" s="290"/>
      <c r="Y69" s="290"/>
      <c r="Z69" s="290"/>
      <c r="AA69" s="26"/>
    </row>
    <row r="70" spans="2:27" ht="15" thickBot="1" x14ac:dyDescent="0.4">
      <c r="B70" s="122"/>
      <c r="C70" s="124"/>
      <c r="D70" s="124"/>
      <c r="E70" s="124"/>
      <c r="F70" s="124"/>
      <c r="G70" s="124"/>
      <c r="H70" s="124"/>
      <c r="I70" s="124"/>
      <c r="J70" s="124"/>
      <c r="K70" s="124"/>
      <c r="L70" s="124"/>
      <c r="M70" s="124"/>
      <c r="N70" s="124"/>
      <c r="O70" s="124"/>
      <c r="P70" s="124"/>
      <c r="Q70" s="124"/>
      <c r="R70" s="124"/>
      <c r="S70" s="124"/>
      <c r="T70" s="124"/>
      <c r="U70" s="124"/>
      <c r="V70" s="124"/>
      <c r="W70" s="124"/>
      <c r="X70" s="124"/>
      <c r="Y70" s="124"/>
      <c r="Z70" s="124"/>
      <c r="AA70" s="126"/>
    </row>
  </sheetData>
  <mergeCells count="38">
    <mergeCell ref="L26:O26"/>
    <mergeCell ref="Q26:R26"/>
    <mergeCell ref="V26:Y26"/>
    <mergeCell ref="L24:O25"/>
    <mergeCell ref="G27:H27"/>
    <mergeCell ref="L27:O27"/>
    <mergeCell ref="Q27:R27"/>
    <mergeCell ref="C21:K22"/>
    <mergeCell ref="D23:E23"/>
    <mergeCell ref="G24:H24"/>
    <mergeCell ref="K24:K25"/>
    <mergeCell ref="V27:Y27"/>
    <mergeCell ref="D27:E27"/>
    <mergeCell ref="F27:F28"/>
    <mergeCell ref="G28:H28"/>
    <mergeCell ref="Q28:R28"/>
    <mergeCell ref="V28:Y28"/>
    <mergeCell ref="Q24:R24"/>
    <mergeCell ref="V24:Y24"/>
    <mergeCell ref="G25:H25"/>
    <mergeCell ref="Q25:R25"/>
    <mergeCell ref="V25:Y25"/>
    <mergeCell ref="G26:H26"/>
    <mergeCell ref="K6:M6"/>
    <mergeCell ref="L7:L8"/>
    <mergeCell ref="M7:M8"/>
    <mergeCell ref="C19:Z20"/>
    <mergeCell ref="H7:I7"/>
    <mergeCell ref="K7:K8"/>
    <mergeCell ref="H8:I8"/>
    <mergeCell ref="H9:I9"/>
    <mergeCell ref="H10:I10"/>
    <mergeCell ref="H11:I11"/>
    <mergeCell ref="H12:I12"/>
    <mergeCell ref="H13:I13"/>
    <mergeCell ref="H14:I14"/>
    <mergeCell ref="H15:I15"/>
    <mergeCell ref="H16:I16"/>
  </mergeCells>
  <phoneticPr fontId="15" type="noConversion"/>
  <conditionalFormatting sqref="K27 U25:U28">
    <cfRule type="cellIs" dxfId="3" priority="6" operator="notBetween">
      <formula>-0.005</formula>
      <formula>0.005</formula>
    </cfRule>
  </conditionalFormatting>
  <conditionalFormatting sqref="K26">
    <cfRule type="cellIs" dxfId="2" priority="5" operator="notBetween">
      <formula>-0.5</formula>
      <formula>0.5</formula>
    </cfRule>
  </conditionalFormatting>
  <conditionalFormatting sqref="P31:P37 Q31:Y36">
    <cfRule type="cellIs" dxfId="1" priority="3" operator="equal">
      <formula>0</formula>
    </cfRule>
  </conditionalFormatting>
  <conditionalFormatting sqref="G8:G9 G11:G16">
    <cfRule type="cellIs" dxfId="0" priority="1" operator="notBetween">
      <formula>-0.005</formula>
      <formula>0.005</formula>
    </cfRule>
  </conditionalFormatting>
  <dataValidations count="2">
    <dataValidation type="list" allowBlank="1" showInputMessage="1" showErrorMessage="1" sqref="D37:D38" xr:uid="{2635698D-FAA6-424F-AA38-662A5BB6411E}">
      <formula1>Resource_Name</formula1>
    </dataValidation>
    <dataValidation type="list" allowBlank="1" showInputMessage="1" showErrorMessage="1" sqref="D31:D35" xr:uid="{C0EA0D8B-9B7E-4508-B3AB-5FAE8782722C}">
      <formula1>Names</formula1>
    </dataValidation>
  </dataValidations>
  <pageMargins left="0.7" right="0.7" top="0.75" bottom="0.75" header="0.3" footer="0.3"/>
  <pageSetup paperSize="9" orientation="portrait" horizontalDpi="300" verticalDpi="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82320-5605-46C2-8675-BF05A2AA0E54}">
  <sheetPr codeName="Sheet3"/>
  <dimension ref="A1:H15"/>
  <sheetViews>
    <sheetView zoomScale="80" zoomScaleNormal="80" workbookViewId="0">
      <selection activeCell="E9" sqref="E9"/>
    </sheetView>
  </sheetViews>
  <sheetFormatPr defaultColWidth="8.81640625" defaultRowHeight="14.5" x14ac:dyDescent="0.35"/>
  <cols>
    <col min="1" max="1" width="1.453125" style="16" customWidth="1"/>
    <col min="2" max="3" width="2.453125" style="16" customWidth="1"/>
    <col min="4" max="4" width="3.54296875" style="317" customWidth="1"/>
    <col min="5" max="5" width="105.1796875" style="16" customWidth="1"/>
    <col min="6" max="7" width="2.453125" style="16" customWidth="1"/>
    <col min="8" max="16384" width="8.81640625" style="16"/>
  </cols>
  <sheetData>
    <row r="1" spans="1:8" ht="10.4" customHeight="1" thickBot="1" x14ac:dyDescent="0.4">
      <c r="B1" s="17"/>
      <c r="C1" s="17"/>
      <c r="D1" s="302"/>
      <c r="E1" s="17"/>
      <c r="F1" s="17"/>
      <c r="G1" s="17"/>
    </row>
    <row r="2" spans="1:8" ht="15" thickBot="1" x14ac:dyDescent="0.4">
      <c r="A2" s="19"/>
      <c r="B2" s="196"/>
      <c r="C2" s="303"/>
      <c r="D2" s="304"/>
      <c r="E2" s="303"/>
      <c r="F2" s="303"/>
      <c r="G2" s="135"/>
      <c r="H2" s="24"/>
    </row>
    <row r="3" spans="1:8" ht="15" thickBot="1" x14ac:dyDescent="0.4">
      <c r="A3" s="19"/>
      <c r="B3" s="305"/>
      <c r="C3" s="306"/>
      <c r="D3" s="307"/>
      <c r="E3" s="306"/>
      <c r="F3" s="306"/>
      <c r="G3" s="308"/>
      <c r="H3" s="24"/>
    </row>
    <row r="4" spans="1:8" ht="15" thickBot="1" x14ac:dyDescent="0.4">
      <c r="A4" s="19"/>
      <c r="B4" s="200"/>
      <c r="C4" s="458" t="s">
        <v>15</v>
      </c>
      <c r="D4" s="459"/>
      <c r="E4" s="459"/>
      <c r="F4" s="460"/>
      <c r="G4" s="143"/>
      <c r="H4" s="24"/>
    </row>
    <row r="5" spans="1:8" ht="15" thickBot="1" x14ac:dyDescent="0.4">
      <c r="A5" s="19"/>
      <c r="B5" s="200"/>
      <c r="C5" s="202"/>
      <c r="D5" s="309"/>
      <c r="E5" s="203"/>
      <c r="F5" s="204"/>
      <c r="G5" s="143"/>
      <c r="H5" s="24"/>
    </row>
    <row r="6" spans="1:8" ht="232.5" thickBot="1" x14ac:dyDescent="0.4">
      <c r="A6" s="19"/>
      <c r="B6" s="200"/>
      <c r="C6" s="219"/>
      <c r="D6" s="461">
        <v>1</v>
      </c>
      <c r="E6" s="9" t="s">
        <v>178</v>
      </c>
      <c r="F6" s="223"/>
      <c r="G6" s="143"/>
      <c r="H6" s="24"/>
    </row>
    <row r="7" spans="1:8" ht="102" thickBot="1" x14ac:dyDescent="0.4">
      <c r="A7" s="19"/>
      <c r="B7" s="200"/>
      <c r="C7" s="219"/>
      <c r="D7" s="462"/>
      <c r="E7" s="10" t="s">
        <v>179</v>
      </c>
      <c r="F7" s="223"/>
      <c r="G7" s="143"/>
      <c r="H7" s="24"/>
    </row>
    <row r="8" spans="1:8" ht="15" thickBot="1" x14ac:dyDescent="0.4">
      <c r="A8" s="19"/>
      <c r="B8" s="200"/>
      <c r="C8" s="219"/>
      <c r="D8" s="310">
        <v>2</v>
      </c>
      <c r="E8" s="12" t="s">
        <v>180</v>
      </c>
      <c r="F8" s="223"/>
      <c r="G8" s="143"/>
      <c r="H8" s="24"/>
    </row>
    <row r="9" spans="1:8" ht="101.5" x14ac:dyDescent="0.35">
      <c r="A9" s="19"/>
      <c r="B9" s="200"/>
      <c r="C9" s="219"/>
      <c r="D9" s="310">
        <v>3</v>
      </c>
      <c r="E9" s="311" t="s">
        <v>181</v>
      </c>
      <c r="F9" s="223"/>
      <c r="G9" s="143"/>
      <c r="H9" s="24"/>
    </row>
    <row r="10" spans="1:8" ht="29" x14ac:dyDescent="0.35">
      <c r="A10" s="19"/>
      <c r="B10" s="200"/>
      <c r="C10" s="312"/>
      <c r="D10" s="310">
        <v>5</v>
      </c>
      <c r="E10" s="311" t="s">
        <v>182</v>
      </c>
      <c r="F10" s="313"/>
      <c r="G10" s="143"/>
      <c r="H10" s="24"/>
    </row>
    <row r="11" spans="1:8" ht="29.5" thickBot="1" x14ac:dyDescent="0.4">
      <c r="A11" s="19"/>
      <c r="B11" s="200"/>
      <c r="C11" s="312"/>
      <c r="D11" s="310">
        <v>6</v>
      </c>
      <c r="E11" s="311" t="s">
        <v>183</v>
      </c>
      <c r="F11" s="313"/>
      <c r="G11" s="143"/>
      <c r="H11" s="24"/>
    </row>
    <row r="12" spans="1:8" ht="58.5" thickBot="1" x14ac:dyDescent="0.4">
      <c r="A12" s="19"/>
      <c r="B12" s="200"/>
      <c r="C12" s="312"/>
      <c r="D12" s="310">
        <v>7</v>
      </c>
      <c r="E12" s="311" t="s">
        <v>185</v>
      </c>
      <c r="F12" s="313"/>
      <c r="G12" s="143"/>
      <c r="H12" s="24"/>
    </row>
    <row r="13" spans="1:8" ht="15" thickBot="1" x14ac:dyDescent="0.4">
      <c r="A13" s="19"/>
      <c r="B13" s="200"/>
      <c r="C13" s="224"/>
      <c r="D13" s="314"/>
      <c r="E13" s="311"/>
      <c r="F13" s="226"/>
      <c r="G13" s="143"/>
      <c r="H13" s="24"/>
    </row>
    <row r="14" spans="1:8" ht="15" thickBot="1" x14ac:dyDescent="0.4">
      <c r="A14" s="19"/>
      <c r="B14" s="227"/>
      <c r="C14" s="228"/>
      <c r="D14" s="315"/>
      <c r="E14" s="228"/>
      <c r="F14" s="228"/>
      <c r="G14" s="230"/>
      <c r="H14" s="24"/>
    </row>
    <row r="15" spans="1:8" x14ac:dyDescent="0.35">
      <c r="B15" s="127"/>
      <c r="C15" s="127"/>
      <c r="D15" s="316"/>
      <c r="E15" s="127"/>
      <c r="F15" s="127"/>
      <c r="G15" s="127"/>
    </row>
  </sheetData>
  <mergeCells count="2">
    <mergeCell ref="C4:F4"/>
    <mergeCell ref="D6:D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1265" r:id="rId4" name="cmd_Back_to_Activities">
          <controlPr defaultSize="0" autoLine="0" r:id="rId5">
            <anchor moveWithCells="1">
              <from>
                <xdr:col>4</xdr:col>
                <xdr:colOff>5264150</xdr:colOff>
                <xdr:row>1</xdr:row>
                <xdr:rowOff>50800</xdr:rowOff>
              </from>
              <to>
                <xdr:col>6</xdr:col>
                <xdr:colOff>0</xdr:colOff>
                <xdr:row>2</xdr:row>
                <xdr:rowOff>184150</xdr:rowOff>
              </to>
            </anchor>
          </controlPr>
        </control>
      </mc:Choice>
      <mc:Fallback>
        <control shapeId="11265" r:id="rId4" name="cmd_Back_to_Activiti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801F6EECB31DD4F927DF2FD7D08C063" ma:contentTypeVersion="10" ma:contentTypeDescription="Create a new document." ma:contentTypeScope="" ma:versionID="d657ae7dcbd721527be06d4c2a8a9f2e">
  <xsd:schema xmlns:xsd="http://www.w3.org/2001/XMLSchema" xmlns:xs="http://www.w3.org/2001/XMLSchema" xmlns:p="http://schemas.microsoft.com/office/2006/metadata/properties" xmlns:ns2="385d2461-d69e-4618-8f38-2935be81c560" xmlns:ns3="847d23b5-e6f8-4663-8f26-b021212573e3" targetNamespace="http://schemas.microsoft.com/office/2006/metadata/properties" ma:root="true" ma:fieldsID="d8506d76c6359c92ca32128fe07e8f61" ns2:_="" ns3:_="">
    <xsd:import namespace="385d2461-d69e-4618-8f38-2935be81c560"/>
    <xsd:import namespace="847d23b5-e6f8-4663-8f26-b021212573e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5d2461-d69e-4618-8f38-2935be81c56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47d23b5-e6f8-4663-8f26-b021212573e3"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FD32B0A-7106-4E92-8834-3B86224891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d2461-d69e-4618-8f38-2935be81c560"/>
    <ds:schemaRef ds:uri="847d23b5-e6f8-4663-8f26-b021212573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6E66CA6-3059-40A4-9214-9EBD97E99779}">
  <ds:schemaRefs>
    <ds:schemaRef ds:uri="http://schemas.microsoft.com/sharepoint/v3/contenttype/forms"/>
  </ds:schemaRefs>
</ds:datastoreItem>
</file>

<file path=customXml/itemProps3.xml><?xml version="1.0" encoding="utf-8"?>
<ds:datastoreItem xmlns:ds="http://schemas.openxmlformats.org/officeDocument/2006/customXml" ds:itemID="{02B61C50-FF2F-4334-95B3-1A32EFFEC057}">
  <ds:schemaRefs>
    <ds:schemaRef ds:uri="8ebfd970-a29c-49c0-a274-cfb35a98c1a4"/>
    <ds:schemaRef ds:uri="http://purl.org/dc/elements/1.1/"/>
    <ds:schemaRef ds:uri="http://schemas.microsoft.com/office/2006/metadata/properties"/>
    <ds:schemaRef ds:uri="637cf84a-e98c-4590-a3f9-4ffcebb850ea"/>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25</vt:i4>
      </vt:variant>
    </vt:vector>
  </HeadingPairs>
  <TitlesOfParts>
    <vt:vector size="41" baseType="lpstr">
      <vt:lpstr>Instructions</vt:lpstr>
      <vt:lpstr>Scope and Scaling Factors</vt:lpstr>
      <vt:lpstr>Project Plan - Self </vt:lpstr>
      <vt:lpstr>Project Plan - Rapid</vt:lpstr>
      <vt:lpstr>Project Plan - Target Deepdive</vt:lpstr>
      <vt:lpstr>Project Plan - Target </vt:lpstr>
      <vt:lpstr>Project Plan - Transf. Deepdive</vt:lpstr>
      <vt:lpstr>Project Plan - Transformative</vt:lpstr>
      <vt:lpstr>Rate Card</vt:lpstr>
      <vt:lpstr>Resource Plan - Self </vt:lpstr>
      <vt:lpstr>Resource Plan - Rapid</vt:lpstr>
      <vt:lpstr>Resource Plan - Target Deepdive</vt:lpstr>
      <vt:lpstr>Resource Plan - Target</vt:lpstr>
      <vt:lpstr>Resource Plan - Transf.Deepdive</vt:lpstr>
      <vt:lpstr>Resource Plan -Transformative</vt:lpstr>
      <vt:lpstr>Considerations</vt:lpstr>
      <vt:lpstr>Complexity</vt:lpstr>
      <vt:lpstr>'Scope and Scaling Factors'!number_of_audit_file_reviews</vt:lpstr>
      <vt:lpstr>'Scope and Scaling Factors'!number_of_interviews</vt:lpstr>
      <vt:lpstr>'Scope and Scaling Factors'!number_of_reports</vt:lpstr>
      <vt:lpstr>'Scope and Scaling Factors'!number_of_standards</vt:lpstr>
      <vt:lpstr>'Project Plan - Rapid'!on_the_right_summary_High</vt:lpstr>
      <vt:lpstr>'Project Plan - Target '!on_the_right_summary_High</vt:lpstr>
      <vt:lpstr>'Project Plan - Target Deepdive'!on_the_right_summary_High</vt:lpstr>
      <vt:lpstr>'Project Plan - Transf. Deepdive'!on_the_right_summary_High</vt:lpstr>
      <vt:lpstr>'Project Plan - Transformative'!on_the_right_summary_High</vt:lpstr>
      <vt:lpstr>on_the_right_summary_High</vt:lpstr>
      <vt:lpstr>Resource_Name_First</vt:lpstr>
      <vt:lpstr>Resources</vt:lpstr>
      <vt:lpstr>'Project Plan - Rapid'!Summary_Benchmark_High</vt:lpstr>
      <vt:lpstr>'Project Plan - Target '!Summary_Benchmark_High</vt:lpstr>
      <vt:lpstr>'Project Plan - Target Deepdive'!Summary_Benchmark_High</vt:lpstr>
      <vt:lpstr>'Project Plan - Transf. Deepdive'!Summary_Benchmark_High</vt:lpstr>
      <vt:lpstr>'Project Plan - Transformative'!Summary_Benchmark_High</vt:lpstr>
      <vt:lpstr>Summary_Benchmark_High</vt:lpstr>
      <vt:lpstr>'Project Plan - Rapid'!Summary_Maturity_High</vt:lpstr>
      <vt:lpstr>'Project Plan - Target '!Summary_Maturity_High</vt:lpstr>
      <vt:lpstr>'Project Plan - Target Deepdive'!Summary_Maturity_High</vt:lpstr>
      <vt:lpstr>'Project Plan - Transf. Deepdive'!Summary_Maturity_High</vt:lpstr>
      <vt:lpstr>'Project Plan - Transformative'!Summary_Maturity_High</vt:lpstr>
      <vt:lpstr>Summary_Maturity_High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Ananya Suneja</dc:creator>
  <cp:keywords/>
  <dc:description/>
  <cp:lastModifiedBy>Sumedha Chaudhry</cp:lastModifiedBy>
  <cp:revision/>
  <dcterms:created xsi:type="dcterms:W3CDTF">2023-05-10T04:45:31Z</dcterms:created>
  <dcterms:modified xsi:type="dcterms:W3CDTF">2024-05-03T08:34:48Z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0x0101006801F6EECB31DD4F927DF2FD7D08C063</vt:lpwstr>
  </property>
</Properties>
</file>